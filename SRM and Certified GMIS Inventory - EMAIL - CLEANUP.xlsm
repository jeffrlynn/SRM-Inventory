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eff.lynn\Desktop\"/>
    </mc:Choice>
  </mc:AlternateContent>
  <bookViews>
    <workbookView xWindow="0" yWindow="5460" windowWidth="28800" windowHeight="11760" activeTab="3"/>
  </bookViews>
  <sheets>
    <sheet name="Inventory List" sheetId="1" r:id="rId1"/>
    <sheet name="Inventory value" sheetId="2" r:id="rId2"/>
    <sheet name="Value Report" sheetId="3" r:id="rId3"/>
    <sheet name="Update message" sheetId="4" r:id="rId4"/>
  </sheets>
  <definedNames>
    <definedName name="_xlnm._FilterDatabase" localSheetId="1" hidden="1">'Inventory value'!$C$1:$C$124</definedName>
    <definedName name="ColumnTitle1">#REF!</definedName>
    <definedName name="_xlnm.Print_Titles" localSheetId="0">'Inventory List'!$1:$3</definedName>
    <definedName name="valHighlight">IFERROR(IF('Inventory List'!$I$1="Yes", TRUE, FALSE),FALSE)</definedName>
  </definedNames>
  <calcPr calcId="152511"/>
</workbook>
</file>

<file path=xl/calcChain.xml><?xml version="1.0" encoding="utf-8"?>
<calcChain xmlns="http://schemas.openxmlformats.org/spreadsheetml/2006/main">
  <c r="I63" i="3" l="1"/>
  <c r="H63" i="3"/>
  <c r="J62" i="3"/>
  <c r="K62" i="3" s="1"/>
  <c r="J61" i="3"/>
  <c r="K61" i="3" s="1"/>
  <c r="J60" i="3"/>
  <c r="K60" i="3" s="1"/>
  <c r="J59" i="3"/>
  <c r="K59" i="3" s="1"/>
  <c r="J58" i="3"/>
  <c r="K58" i="3" s="1"/>
  <c r="K57" i="3"/>
  <c r="J57" i="3"/>
  <c r="J56" i="3"/>
  <c r="K56" i="3" s="1"/>
  <c r="J55" i="3"/>
  <c r="K55" i="3" s="1"/>
  <c r="J54" i="3"/>
  <c r="K54" i="3" s="1"/>
  <c r="K53" i="3"/>
  <c r="J53" i="3"/>
  <c r="K52" i="3"/>
  <c r="J52" i="3"/>
  <c r="K51" i="3"/>
  <c r="J51" i="3"/>
  <c r="J50" i="3"/>
  <c r="K50" i="3" s="1"/>
  <c r="J49" i="3"/>
  <c r="K49" i="3" s="1"/>
  <c r="J48" i="3"/>
  <c r="K48" i="3" s="1"/>
  <c r="J47" i="3"/>
  <c r="K47" i="3" s="1"/>
  <c r="J46" i="3"/>
  <c r="K46" i="3" s="1"/>
  <c r="K45" i="3"/>
  <c r="J45" i="3"/>
  <c r="K44" i="3"/>
  <c r="J44" i="3"/>
  <c r="K42" i="3"/>
  <c r="J42" i="3"/>
  <c r="J41" i="3"/>
  <c r="K41" i="3" s="1"/>
  <c r="J40" i="3"/>
  <c r="K40" i="3" s="1"/>
  <c r="J39" i="3"/>
  <c r="K39" i="3" s="1"/>
  <c r="J38" i="3"/>
  <c r="K38" i="3" s="1"/>
  <c r="J37" i="3"/>
  <c r="J36" i="3"/>
  <c r="J35" i="3"/>
  <c r="K35" i="3" s="1"/>
  <c r="J34" i="3"/>
  <c r="K34" i="3" s="1"/>
  <c r="J33" i="3"/>
  <c r="K33" i="3" s="1"/>
  <c r="J32" i="3"/>
  <c r="K32" i="3" s="1"/>
  <c r="K31" i="3"/>
  <c r="J31" i="3"/>
  <c r="K29" i="3"/>
  <c r="J29" i="3"/>
  <c r="K28" i="3"/>
  <c r="J28" i="3"/>
  <c r="J27" i="3"/>
  <c r="K27" i="3" s="1"/>
  <c r="J26" i="3"/>
  <c r="K26" i="3" s="1"/>
  <c r="J25" i="3"/>
  <c r="K25" i="3" s="1"/>
  <c r="J24" i="3"/>
  <c r="K24" i="3" s="1"/>
  <c r="J23" i="3"/>
  <c r="K23" i="3" s="1"/>
  <c r="K22" i="3"/>
  <c r="J22" i="3"/>
  <c r="K21" i="3"/>
  <c r="J21" i="3"/>
  <c r="K20" i="3"/>
  <c r="J20" i="3"/>
  <c r="J19" i="3"/>
  <c r="K19" i="3" s="1"/>
  <c r="J18" i="3"/>
  <c r="K18" i="3" s="1"/>
  <c r="J17" i="3"/>
  <c r="K17" i="3" s="1"/>
  <c r="J16" i="3"/>
  <c r="K16" i="3" s="1"/>
  <c r="J15" i="3"/>
  <c r="K15" i="3" s="1"/>
  <c r="K14" i="3"/>
  <c r="J14" i="3"/>
  <c r="K13" i="3"/>
  <c r="J13" i="3"/>
  <c r="K12" i="3"/>
  <c r="J12" i="3"/>
  <c r="J11" i="3"/>
  <c r="K11" i="3" s="1"/>
  <c r="J10" i="3"/>
  <c r="K10" i="3" s="1"/>
  <c r="J9" i="3"/>
  <c r="K9" i="3" s="1"/>
  <c r="J8" i="3"/>
  <c r="K8" i="3" s="1"/>
  <c r="J7" i="3"/>
  <c r="K7" i="3" s="1"/>
  <c r="K6" i="3"/>
  <c r="J6" i="3"/>
  <c r="K5" i="3"/>
  <c r="J5" i="3"/>
  <c r="K4" i="3"/>
  <c r="J4" i="3"/>
  <c r="J3" i="3"/>
  <c r="K3" i="3" s="1"/>
  <c r="J2" i="3"/>
  <c r="J63" i="3" s="1"/>
  <c r="K2" i="3" l="1"/>
  <c r="K63" i="3" s="1"/>
  <c r="M1" i="1"/>
</calcChain>
</file>

<file path=xl/sharedStrings.xml><?xml version="1.0" encoding="utf-8"?>
<sst xmlns="http://schemas.openxmlformats.org/spreadsheetml/2006/main" count="1875" uniqueCount="366">
  <si>
    <t>yes</t>
  </si>
  <si>
    <t>Serial Number</t>
  </si>
  <si>
    <t>Lot</t>
  </si>
  <si>
    <t>Expiration</t>
  </si>
  <si>
    <t>Current Pressure</t>
  </si>
  <si>
    <t>Type</t>
  </si>
  <si>
    <t>Component</t>
  </si>
  <si>
    <t>Balance</t>
  </si>
  <si>
    <t>Concentration</t>
  </si>
  <si>
    <t>NIST Reference</t>
  </si>
  <si>
    <t>Standards Inventory</t>
  </si>
  <si>
    <t>CAL017676</t>
  </si>
  <si>
    <t>CAL017084</t>
  </si>
  <si>
    <t>FF10760</t>
  </si>
  <si>
    <t>CAL017809</t>
  </si>
  <si>
    <t>FF10613</t>
  </si>
  <si>
    <t>FF30813</t>
  </si>
  <si>
    <t>FF24546</t>
  </si>
  <si>
    <t>FF20633</t>
  </si>
  <si>
    <t>FF20791</t>
  </si>
  <si>
    <t>CAL017934</t>
  </si>
  <si>
    <t>FF9261</t>
  </si>
  <si>
    <t>CAL017924</t>
  </si>
  <si>
    <t>FF40548</t>
  </si>
  <si>
    <t>CAL016294</t>
  </si>
  <si>
    <t>CLM-09719</t>
  </si>
  <si>
    <t>CAL015771</t>
  </si>
  <si>
    <t>CAL017226</t>
  </si>
  <si>
    <t>CAL010808</t>
  </si>
  <si>
    <t>CAL016375</t>
  </si>
  <si>
    <t>CAL016267</t>
  </si>
  <si>
    <t>FF20572</t>
  </si>
  <si>
    <t>FF30874</t>
  </si>
  <si>
    <t>FF30726</t>
  </si>
  <si>
    <t>XF003783B</t>
  </si>
  <si>
    <t>XF002997B</t>
  </si>
  <si>
    <t>CAL016866</t>
  </si>
  <si>
    <t>FF22304</t>
  </si>
  <si>
    <t>CAL016154</t>
  </si>
  <si>
    <t>CAL015064</t>
  </si>
  <si>
    <t>CAL015811</t>
  </si>
  <si>
    <t>AAL069158</t>
  </si>
  <si>
    <t>AAL069200</t>
  </si>
  <si>
    <t>FF13634</t>
  </si>
  <si>
    <t>11-H-08</t>
  </si>
  <si>
    <t>92-G-48</t>
  </si>
  <si>
    <t>91-E-13</t>
  </si>
  <si>
    <t>84-K-47</t>
  </si>
  <si>
    <t>83-J-12</t>
  </si>
  <si>
    <t>7-H-33</t>
  </si>
  <si>
    <t>5-K-07</t>
  </si>
  <si>
    <t>3-K-41</t>
  </si>
  <si>
    <t>1-L-10</t>
  </si>
  <si>
    <t>1-L-26</t>
  </si>
  <si>
    <t>45-V-26</t>
  </si>
  <si>
    <t>44-T-54</t>
  </si>
  <si>
    <t>42-M-54</t>
  </si>
  <si>
    <t>98-A-32</t>
  </si>
  <si>
    <t>90-D-51</t>
  </si>
  <si>
    <t>22-36-E</t>
  </si>
  <si>
    <t>26-A-23</t>
  </si>
  <si>
    <t>33-E-06</t>
  </si>
  <si>
    <t>35-D-37</t>
  </si>
  <si>
    <t>48-H-18</t>
  </si>
  <si>
    <t>49-H-30</t>
  </si>
  <si>
    <t>46-E-06</t>
  </si>
  <si>
    <t>57-F-33</t>
  </si>
  <si>
    <t>55-F-38</t>
  </si>
  <si>
    <t>101-C-47</t>
  </si>
  <si>
    <t>104-C-09</t>
  </si>
  <si>
    <t>72-D-31</t>
  </si>
  <si>
    <t>71-E-25</t>
  </si>
  <si>
    <t>2660-C-61</t>
  </si>
  <si>
    <t>66-E-11</t>
  </si>
  <si>
    <t>141-C-59</t>
  </si>
  <si>
    <t>2737-AL-34</t>
  </si>
  <si>
    <t>2738-AL-34</t>
  </si>
  <si>
    <t>9-D-16</t>
  </si>
  <si>
    <t>CH4</t>
  </si>
  <si>
    <t>SO2</t>
  </si>
  <si>
    <t>C3H8</t>
  </si>
  <si>
    <t>CO2</t>
  </si>
  <si>
    <t>CO</t>
  </si>
  <si>
    <t>NO</t>
  </si>
  <si>
    <t>O2</t>
  </si>
  <si>
    <t>Nox</t>
  </si>
  <si>
    <t>H2S</t>
  </si>
  <si>
    <t>NO2</t>
  </si>
  <si>
    <t>Air</t>
  </si>
  <si>
    <t>N2</t>
  </si>
  <si>
    <t>1659a</t>
  </si>
  <si>
    <t>1662a</t>
  </si>
  <si>
    <t>1663a</t>
  </si>
  <si>
    <t>1664a</t>
  </si>
  <si>
    <t>1666b</t>
  </si>
  <si>
    <t>1667b</t>
  </si>
  <si>
    <t>1674b</t>
  </si>
  <si>
    <t>1677c</t>
  </si>
  <si>
    <t>1679c</t>
  </si>
  <si>
    <t>1681b</t>
  </si>
  <si>
    <t>1683b</t>
  </si>
  <si>
    <t>1684b</t>
  </si>
  <si>
    <t>1686b</t>
  </si>
  <si>
    <t>1693a</t>
  </si>
  <si>
    <t>1694a</t>
  </si>
  <si>
    <t>1696a</t>
  </si>
  <si>
    <t>2613a</t>
  </si>
  <si>
    <t>2620a</t>
  </si>
  <si>
    <t>2622a</t>
  </si>
  <si>
    <t>2624a</t>
  </si>
  <si>
    <t>2627a</t>
  </si>
  <si>
    <t>2628a</t>
  </si>
  <si>
    <t>2636a</t>
  </si>
  <si>
    <t>2638a</t>
  </si>
  <si>
    <t>2644a</t>
  </si>
  <si>
    <t>2647a</t>
  </si>
  <si>
    <t>2657a</t>
  </si>
  <si>
    <t>2658a</t>
  </si>
  <si>
    <t>2659a</t>
  </si>
  <si>
    <t>2660a</t>
  </si>
  <si>
    <t>9.984 PPM</t>
  </si>
  <si>
    <t>977.0 PPM</t>
  </si>
  <si>
    <t>1474.5 PPM</t>
  </si>
  <si>
    <t xml:space="preserve">2454 PPM </t>
  </si>
  <si>
    <t>9.888 PPM</t>
  </si>
  <si>
    <t>48.83 PPM</t>
  </si>
  <si>
    <t>9.893 PPM</t>
  </si>
  <si>
    <t>99.28 PPM</t>
  </si>
  <si>
    <t>993.1 PPM</t>
  </si>
  <si>
    <t>48.79 PPM</t>
  </si>
  <si>
    <t>99.75 PPM</t>
  </si>
  <si>
    <t>493.1 PPM</t>
  </si>
  <si>
    <t>4.813 PPM</t>
  </si>
  <si>
    <t>98.07 PPM</t>
  </si>
  <si>
    <t>3396 PPM</t>
  </si>
  <si>
    <t>19.17 PPM</t>
  </si>
  <si>
    <t>496.3 PPM</t>
  </si>
  <si>
    <t>5.120 PPM</t>
  </si>
  <si>
    <t>10.10 PPM</t>
  </si>
  <si>
    <t>1487 PPM</t>
  </si>
  <si>
    <t>247.10 PPM</t>
  </si>
  <si>
    <t>4935 PPM</t>
  </si>
  <si>
    <t>246.5 PPM</t>
  </si>
  <si>
    <t>2467 PPM</t>
  </si>
  <si>
    <t>98.0 PPM</t>
  </si>
  <si>
    <t>20.430 PPM</t>
  </si>
  <si>
    <t>782.40 PPM</t>
  </si>
  <si>
    <t>537.00 PPB</t>
  </si>
  <si>
    <t>1037.0 PPB</t>
  </si>
  <si>
    <t>9.99 PPM</t>
  </si>
  <si>
    <t>499.7 PPM</t>
  </si>
  <si>
    <t>50.12 PPM</t>
  </si>
  <si>
    <t>100.0 PPM</t>
  </si>
  <si>
    <t>100.24 PPM</t>
  </si>
  <si>
    <t>SRM</t>
  </si>
  <si>
    <t>VSL</t>
  </si>
  <si>
    <t>PRM</t>
  </si>
  <si>
    <t>D506186</t>
  </si>
  <si>
    <t>FF13791</t>
  </si>
  <si>
    <t>212-D-31</t>
  </si>
  <si>
    <t>99.97 PPM</t>
  </si>
  <si>
    <t>Pressure Check Date</t>
  </si>
  <si>
    <t>Uncertainty (%)</t>
  </si>
  <si>
    <t>FF22144</t>
  </si>
  <si>
    <t>47-G-27</t>
  </si>
  <si>
    <t>2631a</t>
  </si>
  <si>
    <t>CC462327</t>
  </si>
  <si>
    <t>2186A-02T5</t>
  </si>
  <si>
    <t>GMIS</t>
  </si>
  <si>
    <t>103.4 PPM</t>
  </si>
  <si>
    <t>CC454390</t>
  </si>
  <si>
    <t>1966A-07T5</t>
  </si>
  <si>
    <t>848 PPM</t>
  </si>
  <si>
    <t>2186A-01T5</t>
  </si>
  <si>
    <t>247.7 PPM</t>
  </si>
  <si>
    <t>CC459851</t>
  </si>
  <si>
    <t>CC462271</t>
  </si>
  <si>
    <t>1966A-04T5</t>
  </si>
  <si>
    <t>2480.11 PPM</t>
  </si>
  <si>
    <t>CC451599</t>
  </si>
  <si>
    <t>1966A-03T5</t>
  </si>
  <si>
    <t>3477.92 PPM</t>
  </si>
  <si>
    <t>CC481442</t>
  </si>
  <si>
    <t>1976A-06T5</t>
  </si>
  <si>
    <t>249.03 PPM</t>
  </si>
  <si>
    <t>CC478894</t>
  </si>
  <si>
    <t>1976A-05T5</t>
  </si>
  <si>
    <t>EB0059089</t>
  </si>
  <si>
    <t>1976A-01T5</t>
  </si>
  <si>
    <t>2989.0 PPM</t>
  </si>
  <si>
    <t>APEX1223933</t>
  </si>
  <si>
    <t>99.93 PPM</t>
  </si>
  <si>
    <t>CAL017702</t>
  </si>
  <si>
    <t>31-G-19</t>
  </si>
  <si>
    <t>CAL016384</t>
  </si>
  <si>
    <t>48-H-29</t>
  </si>
  <si>
    <t>5.12 PPM</t>
  </si>
  <si>
    <t>Out of Stock</t>
  </si>
  <si>
    <t>APEX 1005648</t>
  </si>
  <si>
    <t>CAL017142</t>
  </si>
  <si>
    <t>93-H-24</t>
  </si>
  <si>
    <t>AIr</t>
  </si>
  <si>
    <t>FF30851</t>
  </si>
  <si>
    <t>55-F-35</t>
  </si>
  <si>
    <t>CAL017717</t>
  </si>
  <si>
    <t>31-G-05</t>
  </si>
  <si>
    <t>FF13749</t>
  </si>
  <si>
    <t>212-D-15</t>
  </si>
  <si>
    <t>99.67 PPM</t>
  </si>
  <si>
    <t>CC417510</t>
  </si>
  <si>
    <t>485.3 PPM</t>
  </si>
  <si>
    <t>0657A-05T5</t>
  </si>
  <si>
    <t>EB0033147</t>
  </si>
  <si>
    <t>EB0033147.20151012</t>
  </si>
  <si>
    <t>9.34 PPM</t>
  </si>
  <si>
    <t>FF28073</t>
  </si>
  <si>
    <t>96-N-18</t>
  </si>
  <si>
    <t>CAL016642</t>
  </si>
  <si>
    <t>95-J-71</t>
  </si>
  <si>
    <t>FF55611</t>
  </si>
  <si>
    <t>81-J-19</t>
  </si>
  <si>
    <t>496.7 PPM</t>
  </si>
  <si>
    <t>1669b</t>
  </si>
  <si>
    <t>CAL016829</t>
  </si>
  <si>
    <t>73-D-22</t>
  </si>
  <si>
    <t>CAL016677</t>
  </si>
  <si>
    <t>95-J-21</t>
  </si>
  <si>
    <t>AAL069194</t>
  </si>
  <si>
    <t>2738-AL-33</t>
  </si>
  <si>
    <t>AAL069171</t>
  </si>
  <si>
    <t>2737-AL-25</t>
  </si>
  <si>
    <t>554 PPB</t>
  </si>
  <si>
    <t>1055 PPB</t>
  </si>
  <si>
    <t>CAL016499</t>
  </si>
  <si>
    <t>48-H-108</t>
  </si>
  <si>
    <t>5.07 PPM</t>
  </si>
  <si>
    <t>CC459852</t>
  </si>
  <si>
    <t>0527A-02T5</t>
  </si>
  <si>
    <t>47.81 PPM</t>
  </si>
  <si>
    <t>CC469058</t>
  </si>
  <si>
    <t>2358A-05T5</t>
  </si>
  <si>
    <t>CC462256</t>
  </si>
  <si>
    <t>0645A-02T5</t>
  </si>
  <si>
    <t>CC481451</t>
  </si>
  <si>
    <t>1167A-05T5</t>
  </si>
  <si>
    <t>CC480398</t>
  </si>
  <si>
    <t>1027A-01T5</t>
  </si>
  <si>
    <t>CAL015803</t>
  </si>
  <si>
    <t>141-C-13</t>
  </si>
  <si>
    <t>782.4 PPM</t>
  </si>
  <si>
    <t>FF55692</t>
  </si>
  <si>
    <t>46-F-10</t>
  </si>
  <si>
    <t>1469 PPM</t>
  </si>
  <si>
    <t>50.19 PPM</t>
  </si>
  <si>
    <t>CC462228</t>
  </si>
  <si>
    <t>1847A-02T5</t>
  </si>
  <si>
    <t>299.3 PPM</t>
  </si>
  <si>
    <t>CC480411</t>
  </si>
  <si>
    <t>300.0 PPM</t>
  </si>
  <si>
    <t>CC463409</t>
  </si>
  <si>
    <t>18.8 PPM</t>
  </si>
  <si>
    <t>0625A-04T5</t>
  </si>
  <si>
    <t>100 PPM</t>
  </si>
  <si>
    <t>Pressure Level</t>
  </si>
  <si>
    <t>Cylinder Value</t>
  </si>
  <si>
    <t>Cost</t>
  </si>
  <si>
    <t>FF13586</t>
  </si>
  <si>
    <t>CC454408</t>
  </si>
  <si>
    <t>2547A-01T5</t>
  </si>
  <si>
    <t>48.92 PPM</t>
  </si>
  <si>
    <t>FF13624</t>
  </si>
  <si>
    <t>9-D-37</t>
  </si>
  <si>
    <t>D562923</t>
  </si>
  <si>
    <t>D562921</t>
  </si>
  <si>
    <t>10.02 PPM</t>
  </si>
  <si>
    <t>98.4 PPM</t>
  </si>
  <si>
    <t>FF10675</t>
  </si>
  <si>
    <t>58-E-04</t>
  </si>
  <si>
    <t>24.512 PPM</t>
  </si>
  <si>
    <t>2635a</t>
  </si>
  <si>
    <t>CAL017650</t>
  </si>
  <si>
    <t>92-G-27</t>
  </si>
  <si>
    <t>1474.4 PPM</t>
  </si>
  <si>
    <t>FF22260</t>
  </si>
  <si>
    <t>2-K-66</t>
  </si>
  <si>
    <t>494.8 PPM</t>
  </si>
  <si>
    <t>1680b</t>
  </si>
  <si>
    <t>CAL015701</t>
  </si>
  <si>
    <t>26-A-02</t>
  </si>
  <si>
    <t>CC463419</t>
  </si>
  <si>
    <t>0695A-01T5</t>
  </si>
  <si>
    <t>50.81 PPM</t>
  </si>
  <si>
    <t>EB0052769</t>
  </si>
  <si>
    <t>103.7 PPM</t>
  </si>
  <si>
    <t>0468A-01T5</t>
  </si>
  <si>
    <t>CC473807</t>
  </si>
  <si>
    <t>102.9 PPM</t>
  </si>
  <si>
    <t>EB0052743</t>
  </si>
  <si>
    <t>103.8 PPM</t>
  </si>
  <si>
    <t>EB0055057</t>
  </si>
  <si>
    <t>EB0056713</t>
  </si>
  <si>
    <t>103.9 PPM</t>
  </si>
  <si>
    <t>FF60179</t>
  </si>
  <si>
    <t>7-I-03</t>
  </si>
  <si>
    <t>CC482138</t>
  </si>
  <si>
    <t>5184 PPM</t>
  </si>
  <si>
    <t>3196A-01T5</t>
  </si>
  <si>
    <t>CC449559</t>
  </si>
  <si>
    <t>1470 PPM</t>
  </si>
  <si>
    <t>D684941</t>
  </si>
  <si>
    <t>1001.3 PPM</t>
  </si>
  <si>
    <t>D687712</t>
  </si>
  <si>
    <t>D684935</t>
  </si>
  <si>
    <t>5006 PPM</t>
  </si>
  <si>
    <t>D684929</t>
  </si>
  <si>
    <t>D685109</t>
  </si>
  <si>
    <t>D684978</t>
  </si>
  <si>
    <t>D562986</t>
  </si>
  <si>
    <t>FF55647</t>
  </si>
  <si>
    <t>81-J-24</t>
  </si>
  <si>
    <t>XF003892B</t>
  </si>
  <si>
    <t>101-C-52</t>
  </si>
  <si>
    <t>FF55463</t>
  </si>
  <si>
    <t>44-U-69</t>
  </si>
  <si>
    <t>98.95 PPM</t>
  </si>
  <si>
    <t>1684a</t>
  </si>
  <si>
    <t>D167904</t>
  </si>
  <si>
    <t>56-G-19</t>
  </si>
  <si>
    <t>2472.8 PPM</t>
  </si>
  <si>
    <t>2637a</t>
  </si>
  <si>
    <t>Purchase Price</t>
  </si>
  <si>
    <t>Value EOM 11-18</t>
  </si>
  <si>
    <t>Current Value (EOM 11 -18)</t>
  </si>
  <si>
    <t>Value Consumed (Reported Line 3810)</t>
  </si>
  <si>
    <t>Expiry Date</t>
  </si>
  <si>
    <t xml:space="preserve">Start Pressure </t>
  </si>
  <si>
    <t>Notes:</t>
  </si>
  <si>
    <t xml:space="preserve">Entries that have EOM value in green arrived during the current month </t>
  </si>
  <si>
    <t>Standards from VSL have cylinder purchase manually included in the value, SRM's are included from NIST already.</t>
  </si>
  <si>
    <t>Starting Pressure is assumed to be 1900 psig unless otherwise noted.</t>
  </si>
  <si>
    <t>D685106</t>
  </si>
  <si>
    <t>Multi</t>
  </si>
  <si>
    <t>Natural Gas Std</t>
  </si>
  <si>
    <t>10/2/20203</t>
  </si>
  <si>
    <t>Totals</t>
  </si>
  <si>
    <t>CC473694</t>
  </si>
  <si>
    <t>100.2 PPM</t>
  </si>
  <si>
    <t>1966A-05T5</t>
  </si>
  <si>
    <t>EB0047732</t>
  </si>
  <si>
    <t>2506A-02T5</t>
  </si>
  <si>
    <t>CC442978</t>
  </si>
  <si>
    <t>2298A-02T5</t>
  </si>
  <si>
    <t>99.14 PPM</t>
  </si>
  <si>
    <t>CC469068</t>
  </si>
  <si>
    <t>3108A-02T5</t>
  </si>
  <si>
    <t>101.8 PPM</t>
  </si>
  <si>
    <t>CC473760</t>
  </si>
  <si>
    <t>102.1 PPM</t>
  </si>
  <si>
    <t>CC475227</t>
  </si>
  <si>
    <t>101.9 PPM</t>
  </si>
  <si>
    <t>EB0051942</t>
  </si>
  <si>
    <t>101.5 PPM</t>
  </si>
  <si>
    <t>CC462259</t>
  </si>
  <si>
    <t>1668A-01T5</t>
  </si>
  <si>
    <t>NOx</t>
  </si>
  <si>
    <t>Pressure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</si>
</sst>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7" formatCode="&quot;$&quot;#,##0.00_);\(&quot;$&quot;#,##0.00\)"/>
    <numFmt numFmtId="44" formatCode="_(&quot;$&quot;* #,##0.00_);_(&quot;$&quot;* \(#,##0.00\);_(&quot;$&quot;* &quot;-&quot;??_);_(@_)"/>
    <numFmt numFmtId="164" formatCode="&quot;Reorder&quot;;&quot;&quot;;&quot;&quot;"/>
    <numFmt numFmtId="165" formatCode="0.000"/>
    <numFmt numFmtId="166" formatCode="0.000%"/>
    <numFmt numFmtId="167" formatCode="0.0%"/>
    <numFmt numFmtId="168" formatCode="&quot;$&quot;#,##0.00"/>
    <numFmt numFmtId="169" formatCode="&quot;$&quot;0.00"/>
    <numFmt numFmtId="170" formatCode="mm/dd/yyyy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0"/>
      <name val="Corbel"/>
      <family val="2"/>
      <scheme val="major"/>
    </font>
    <font>
      <b/>
      <sz val="34"/>
      <color theme="6" tint="-0.24994659260841701"/>
      <name val="Corbel"/>
      <family val="2"/>
      <scheme val="major"/>
    </font>
    <font>
      <sz val="10"/>
      <color theme="1" tint="4.9989318521683403E-2"/>
      <name val="Calibri"/>
      <family val="2"/>
      <scheme val="minor"/>
    </font>
    <font>
      <sz val="11"/>
      <color theme="6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sz val="14"/>
      <color rgb="FFFF0000"/>
      <name val="Calibri"/>
      <family val="2"/>
    </font>
    <font>
      <b/>
      <sz val="10"/>
      <color theme="0"/>
      <name val="Corbel"/>
      <family val="2"/>
      <scheme val="major"/>
    </font>
    <font>
      <b/>
      <sz val="10"/>
      <color rgb="FFFFFFFF"/>
      <name val="Corbel"/>
      <family val="2"/>
    </font>
    <font>
      <sz val="11"/>
      <name val="Calibri"/>
      <family val="2"/>
      <scheme val="minor"/>
    </font>
    <font>
      <sz val="11"/>
      <color rgb="FFFF0000"/>
      <name val="Calibri"/>
      <family val="2"/>
    </font>
    <font>
      <strike/>
      <sz val="9"/>
      <color rgb="FF595959"/>
      <name val="Arial"/>
      <family val="2"/>
    </font>
    <font>
      <strike/>
      <sz val="11"/>
      <color rgb="FF595959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-0.2499465926084170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44777B"/>
        <bgColor rgb="FF000000"/>
      </patternFill>
    </fill>
    <fill>
      <patternFill patternType="solid">
        <fgColor theme="4" tint="0.3999755851924192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rgb="FFFF7546"/>
        <bgColor indexed="64"/>
      </patternFill>
    </fill>
    <fill>
      <patternFill patternType="solid">
        <fgColor rgb="FFFFE066"/>
        <bgColor indexed="64"/>
      </patternFill>
    </fill>
  </fills>
  <borders count="8">
    <border>
      <left/>
      <right/>
      <top/>
      <bottom/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/>
      <right/>
      <top/>
      <bottom style="thin">
        <color rgb="FFFF0000"/>
      </bottom>
      <diagonal/>
    </border>
    <border>
      <left/>
      <right style="thin">
        <color rgb="FFFF0000"/>
      </right>
      <top style="thin">
        <color rgb="FFFF0000"/>
      </top>
      <bottom style="thin">
        <color rgb="FFFF0000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ck">
        <color theme="0"/>
      </top>
      <bottom style="thick">
        <color theme="0"/>
      </bottom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</borders>
  <cellStyleXfs count="12">
    <xf numFmtId="0" fontId="0" fillId="0" borderId="0">
      <alignment vertical="center"/>
    </xf>
    <xf numFmtId="0" fontId="3" fillId="3" borderId="0" applyNumberFormat="0" applyProtection="0">
      <alignment horizontal="left" vertical="center" indent="1"/>
    </xf>
    <xf numFmtId="0" fontId="2" fillId="4" borderId="0" applyProtection="0">
      <alignment horizontal="left" vertical="center" wrapText="1" indent="1"/>
    </xf>
    <xf numFmtId="0" fontId="5" fillId="3" borderId="0" applyNumberFormat="0" applyProtection="0">
      <alignment horizontal="right" vertical="center"/>
    </xf>
    <xf numFmtId="7" fontId="6" fillId="0" borderId="0" applyProtection="0">
      <alignment horizontal="right" vertical="center" indent="1"/>
    </xf>
    <xf numFmtId="0" fontId="6" fillId="0" borderId="0" applyProtection="0">
      <alignment horizontal="right" vertical="center" indent="1"/>
    </xf>
    <xf numFmtId="0" fontId="1" fillId="0" borderId="0" applyProtection="0">
      <alignment horizontal="center" vertical="center"/>
    </xf>
    <xf numFmtId="0" fontId="1" fillId="0" borderId="0" applyProtection="0">
      <alignment horizontal="left" vertical="center" wrapText="1" indent="1"/>
    </xf>
    <xf numFmtId="164" fontId="1" fillId="2" borderId="0">
      <alignment horizontal="left" vertical="center" indent="1"/>
    </xf>
    <xf numFmtId="0" fontId="5" fillId="3" borderId="0" applyNumberFormat="0" applyProtection="0">
      <alignment horizontal="left" vertical="center" indent="1"/>
    </xf>
    <xf numFmtId="0" fontId="1" fillId="0" borderId="0"/>
    <xf numFmtId="0" fontId="1" fillId="0" borderId="0"/>
  </cellStyleXfs>
  <cellXfs count="112">
    <xf numFmtId="0" fontId="0" fillId="0" borderId="0" xfId="0">
      <alignment vertical="center"/>
    </xf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2" fillId="4" borderId="0" xfId="2">
      <alignment horizontal="left" vertical="center" wrapText="1" indent="1"/>
    </xf>
    <xf numFmtId="0" fontId="4" fillId="0" borderId="0" xfId="0" applyFont="1">
      <alignment vertical="center"/>
    </xf>
    <xf numFmtId="0" fontId="5" fillId="3" borderId="0" xfId="3">
      <alignment horizontal="right" vertical="center"/>
    </xf>
    <xf numFmtId="0" fontId="5" fillId="3" borderId="0" xfId="9">
      <alignment horizontal="left" vertical="center" indent="1"/>
    </xf>
    <xf numFmtId="0" fontId="5" fillId="3" borderId="0" xfId="3" applyAlignment="1">
      <alignment vertical="center"/>
    </xf>
    <xf numFmtId="0" fontId="0" fillId="0" borderId="0" xfId="0" applyAlignment="1">
      <alignment vertical="center"/>
    </xf>
    <xf numFmtId="14" fontId="5" fillId="3" borderId="0" xfId="3" applyNumberFormat="1" applyAlignment="1">
      <alignment horizontal="center" vertical="center"/>
    </xf>
    <xf numFmtId="0" fontId="0" fillId="0" borderId="0" xfId="0" applyAlignment="1">
      <alignment vertical="center" wrapText="1"/>
    </xf>
    <xf numFmtId="0" fontId="5" fillId="5" borderId="0" xfId="3" applyFill="1">
      <alignment horizontal="right" vertical="center"/>
    </xf>
    <xf numFmtId="14" fontId="0" fillId="0" borderId="0" xfId="0" applyNumberFormat="1">
      <alignment vertical="center"/>
    </xf>
    <xf numFmtId="0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0" fontId="9" fillId="4" borderId="0" xfId="2" applyFont="1" applyAlignment="1">
      <alignment horizontal="center" vertical="center" wrapText="1"/>
    </xf>
    <xf numFmtId="166" fontId="0" fillId="0" borderId="0" xfId="0" applyNumberFormat="1" applyAlignment="1">
      <alignment horizontal="left" vertical="center"/>
    </xf>
    <xf numFmtId="167" fontId="0" fillId="0" borderId="0" xfId="0" applyNumberFormat="1" applyAlignment="1">
      <alignment horizontal="left" vertical="center"/>
    </xf>
    <xf numFmtId="169" fontId="0" fillId="0" borderId="0" xfId="0" applyNumberFormat="1">
      <alignment vertical="center"/>
    </xf>
    <xf numFmtId="170" fontId="0" fillId="0" borderId="0" xfId="0" applyNumberFormat="1" applyAlignment="1">
      <alignment horizontal="left" vertical="center"/>
    </xf>
    <xf numFmtId="170" fontId="0" fillId="0" borderId="1" xfId="0" applyNumberFormat="1" applyFill="1" applyBorder="1" applyAlignment="1">
      <alignment horizontal="left" vertical="center"/>
    </xf>
    <xf numFmtId="0" fontId="10" fillId="6" borderId="0" xfId="2" applyFont="1" applyFill="1" applyBorder="1" applyAlignment="1">
      <alignment horizontal="center" vertical="center" wrapText="1"/>
    </xf>
    <xf numFmtId="44" fontId="10" fillId="6" borderId="0" xfId="2" applyNumberFormat="1" applyFont="1" applyFill="1" applyBorder="1" applyAlignment="1">
      <alignment horizontal="center" vertical="center" wrapText="1"/>
    </xf>
    <xf numFmtId="0" fontId="0" fillId="0" borderId="0" xfId="0" applyAlignment="1"/>
    <xf numFmtId="0" fontId="0" fillId="0" borderId="0" xfId="0" applyFill="1" applyAlignment="1">
      <alignment horizontal="left" vertical="center"/>
    </xf>
    <xf numFmtId="0" fontId="0" fillId="0" borderId="0" xfId="0" applyFill="1" applyAlignment="1">
      <alignment vertical="center"/>
    </xf>
    <xf numFmtId="0" fontId="0" fillId="0" borderId="0" xfId="0" applyNumberFormat="1" applyFill="1" applyAlignment="1">
      <alignment horizontal="left" vertical="center"/>
    </xf>
    <xf numFmtId="44" fontId="0" fillId="0" borderId="0" xfId="0" applyNumberFormat="1" applyFill="1" applyAlignment="1">
      <alignment horizontal="left" vertical="center"/>
    </xf>
    <xf numFmtId="44" fontId="11" fillId="0" borderId="0" xfId="0" applyNumberFormat="1" applyFont="1" applyFill="1" applyAlignment="1"/>
    <xf numFmtId="44" fontId="0" fillId="0" borderId="0" xfId="0" applyNumberFormat="1" applyFill="1" applyAlignment="1"/>
    <xf numFmtId="170" fontId="11" fillId="0" borderId="0" xfId="0" applyNumberFormat="1" applyFont="1" applyFill="1" applyBorder="1" applyAlignment="1">
      <alignment horizontal="left" vertical="center"/>
    </xf>
    <xf numFmtId="170" fontId="11" fillId="0" borderId="1" xfId="0" applyNumberFormat="1" applyFont="1" applyFill="1" applyBorder="1" applyAlignment="1">
      <alignment horizontal="left" vertical="center"/>
    </xf>
    <xf numFmtId="44" fontId="11" fillId="0" borderId="0" xfId="0" applyNumberFormat="1" applyFont="1" applyFill="1" applyAlignment="1">
      <alignment horizontal="left" vertical="center"/>
    </xf>
    <xf numFmtId="166" fontId="0" fillId="0" borderId="0" xfId="0" applyNumberFormat="1" applyFill="1" applyAlignment="1">
      <alignment horizontal="left" vertical="center"/>
    </xf>
    <xf numFmtId="44" fontId="0" fillId="0" borderId="0" xfId="0" applyNumberFormat="1" applyAlignment="1">
      <alignment horizontal="left" vertical="center"/>
    </xf>
    <xf numFmtId="44" fontId="11" fillId="0" borderId="0" xfId="0" applyNumberFormat="1" applyFont="1" applyAlignment="1"/>
    <xf numFmtId="44" fontId="0" fillId="0" borderId="0" xfId="0" applyNumberFormat="1" applyAlignment="1"/>
    <xf numFmtId="170" fontId="11" fillId="0" borderId="0" xfId="0" applyNumberFormat="1" applyFont="1" applyBorder="1" applyAlignment="1">
      <alignment horizontal="left" vertical="center"/>
    </xf>
    <xf numFmtId="44" fontId="11" fillId="0" borderId="0" xfId="0" applyNumberFormat="1" applyFont="1" applyAlignment="1">
      <alignment horizontal="left" vertical="center"/>
    </xf>
    <xf numFmtId="170" fontId="11" fillId="0" borderId="2" xfId="0" applyNumberFormat="1" applyFont="1" applyFill="1" applyBorder="1" applyAlignment="1">
      <alignment horizontal="left" vertical="center"/>
    </xf>
    <xf numFmtId="169" fontId="0" fillId="0" borderId="0" xfId="0" applyNumberFormat="1" applyAlignment="1">
      <alignment vertical="center"/>
    </xf>
    <xf numFmtId="0" fontId="0" fillId="0" borderId="0" xfId="0" applyFill="1" applyBorder="1" applyAlignment="1">
      <alignment horizontal="left" vertical="center"/>
    </xf>
    <xf numFmtId="0" fontId="0" fillId="0" borderId="0" xfId="0" applyFill="1" applyBorder="1" applyAlignment="1">
      <alignment vertical="center"/>
    </xf>
    <xf numFmtId="0" fontId="0" fillId="0" borderId="0" xfId="0" applyNumberFormat="1" applyFill="1" applyBorder="1" applyAlignment="1">
      <alignment horizontal="left" vertical="center"/>
    </xf>
    <xf numFmtId="167" fontId="0" fillId="0" borderId="0" xfId="0" applyNumberFormat="1" applyBorder="1" applyAlignment="1">
      <alignment horizontal="left" vertical="center"/>
    </xf>
    <xf numFmtId="44" fontId="0" fillId="0" borderId="0" xfId="0" applyNumberFormat="1" applyFill="1" applyBorder="1" applyAlignment="1">
      <alignment horizontal="left" vertical="center"/>
    </xf>
    <xf numFmtId="44" fontId="11" fillId="0" borderId="0" xfId="0" applyNumberFormat="1" applyFont="1" applyFill="1" applyBorder="1" applyAlignment="1"/>
    <xf numFmtId="44" fontId="0" fillId="0" borderId="0" xfId="0" applyNumberFormat="1" applyFill="1" applyBorder="1" applyAlignment="1"/>
    <xf numFmtId="170" fontId="11" fillId="0" borderId="3" xfId="0" applyNumberFormat="1" applyFont="1" applyFill="1" applyBorder="1" applyAlignment="1">
      <alignment horizontal="left" vertical="center"/>
    </xf>
    <xf numFmtId="14" fontId="0" fillId="0" borderId="0" xfId="0" applyNumberFormat="1" applyAlignment="1">
      <alignment vertical="center"/>
    </xf>
    <xf numFmtId="44" fontId="0" fillId="7" borderId="4" xfId="0" applyNumberFormat="1" applyFill="1" applyBorder="1" applyAlignment="1"/>
    <xf numFmtId="0" fontId="5" fillId="3" borderId="0" xfId="9" applyAlignment="1">
      <alignment vertical="center"/>
    </xf>
    <xf numFmtId="0" fontId="0" fillId="8" borderId="0" xfId="0" applyFill="1">
      <alignment vertical="center"/>
    </xf>
    <xf numFmtId="0" fontId="7" fillId="9" borderId="0" xfId="0" applyFont="1" applyFill="1" applyBorder="1" applyAlignment="1">
      <alignment horizontal="center" vertical="center" wrapText="1"/>
    </xf>
    <xf numFmtId="14" fontId="7" fillId="9" borderId="0" xfId="0" applyNumberFormat="1" applyFont="1" applyFill="1" applyBorder="1" applyAlignment="1">
      <alignment horizontal="center" vertical="center" wrapText="1"/>
    </xf>
    <xf numFmtId="7" fontId="0" fillId="9" borderId="0" xfId="4" applyFont="1" applyFill="1" applyAlignment="1">
      <alignment horizontal="center" vertical="center"/>
    </xf>
    <xf numFmtId="0" fontId="7" fillId="9" borderId="0" xfId="0" applyFont="1" applyFill="1" applyAlignment="1">
      <alignment horizontal="center" vertical="center"/>
    </xf>
    <xf numFmtId="165" fontId="0" fillId="9" borderId="0" xfId="0" applyNumberFormat="1" applyFill="1" applyAlignment="1">
      <alignment horizontal="center" vertical="center"/>
    </xf>
    <xf numFmtId="0" fontId="7" fillId="9" borderId="0" xfId="0" applyFont="1" applyFill="1" applyBorder="1" applyAlignment="1">
      <alignment horizontal="center" vertical="center"/>
    </xf>
    <xf numFmtId="0" fontId="0" fillId="9" borderId="0" xfId="0" applyFill="1" applyAlignment="1">
      <alignment vertical="center"/>
    </xf>
    <xf numFmtId="168" fontId="6" fillId="9" borderId="0" xfId="5" applyNumberFormat="1" applyFill="1">
      <alignment horizontal="right" vertical="center" indent="1"/>
    </xf>
    <xf numFmtId="0" fontId="1" fillId="9" borderId="0" xfId="6" applyFill="1">
      <alignment horizontal="center" vertical="center"/>
    </xf>
    <xf numFmtId="15" fontId="0" fillId="9" borderId="0" xfId="0" applyNumberFormat="1" applyFill="1" applyAlignment="1">
      <alignment horizontal="center" vertical="center"/>
    </xf>
    <xf numFmtId="49" fontId="7" fillId="9" borderId="0" xfId="0" applyNumberFormat="1" applyFont="1" applyFill="1" applyBorder="1" applyAlignment="1">
      <alignment horizontal="center" vertical="center" wrapText="1"/>
    </xf>
    <xf numFmtId="0" fontId="3" fillId="3" borderId="0" xfId="1" applyAlignment="1">
      <alignment horizontal="center" vertical="center"/>
    </xf>
    <xf numFmtId="0" fontId="5" fillId="3" borderId="0" xfId="3" applyAlignment="1">
      <alignment horizontal="center" vertical="center"/>
    </xf>
    <xf numFmtId="0" fontId="0" fillId="7" borderId="4" xfId="0" applyFill="1" applyBorder="1" applyAlignment="1">
      <alignment horizontal="center"/>
    </xf>
    <xf numFmtId="0" fontId="7" fillId="9" borderId="5" xfId="0" applyFont="1" applyFill="1" applyBorder="1" applyAlignment="1">
      <alignment horizontal="center" vertical="center" wrapText="1"/>
    </xf>
    <xf numFmtId="14" fontId="7" fillId="9" borderId="5" xfId="0" applyNumberFormat="1" applyFont="1" applyFill="1" applyBorder="1" applyAlignment="1">
      <alignment horizontal="center" vertical="center" wrapText="1"/>
    </xf>
    <xf numFmtId="0" fontId="7" fillId="9" borderId="5" xfId="0" applyFont="1" applyFill="1" applyBorder="1" applyAlignment="1">
      <alignment horizontal="center" vertical="center"/>
    </xf>
    <xf numFmtId="49" fontId="7" fillId="9" borderId="5" xfId="0" applyNumberFormat="1" applyFont="1" applyFill="1" applyBorder="1" applyAlignment="1">
      <alignment horizontal="center" vertical="center" wrapText="1"/>
    </xf>
    <xf numFmtId="0" fontId="7" fillId="12" borderId="5" xfId="0" applyFont="1" applyFill="1" applyBorder="1" applyAlignment="1">
      <alignment horizontal="center" vertical="center" wrapText="1"/>
    </xf>
    <xf numFmtId="14" fontId="7" fillId="12" borderId="5" xfId="0" applyNumberFormat="1" applyFont="1" applyFill="1" applyBorder="1" applyAlignment="1">
      <alignment horizontal="center" vertical="center" wrapText="1"/>
    </xf>
    <xf numFmtId="0" fontId="7" fillId="12" borderId="5" xfId="0" applyFont="1" applyFill="1" applyBorder="1" applyAlignment="1">
      <alignment horizontal="center" vertical="center"/>
    </xf>
    <xf numFmtId="49" fontId="7" fillId="12" borderId="5" xfId="0" applyNumberFormat="1" applyFont="1" applyFill="1" applyBorder="1" applyAlignment="1">
      <alignment horizontal="center" vertical="center" wrapText="1"/>
    </xf>
    <xf numFmtId="0" fontId="7" fillId="11" borderId="5" xfId="0" applyFont="1" applyFill="1" applyBorder="1" applyAlignment="1">
      <alignment horizontal="center" vertical="center" wrapText="1"/>
    </xf>
    <xf numFmtId="14" fontId="7" fillId="11" borderId="5" xfId="0" applyNumberFormat="1" applyFont="1" applyFill="1" applyBorder="1" applyAlignment="1">
      <alignment horizontal="center" vertical="center" wrapText="1"/>
    </xf>
    <xf numFmtId="0" fontId="7" fillId="11" borderId="5" xfId="0" applyFont="1" applyFill="1" applyBorder="1" applyAlignment="1">
      <alignment horizontal="center" vertical="center"/>
    </xf>
    <xf numFmtId="49" fontId="7" fillId="11" borderId="5" xfId="0" applyNumberFormat="1" applyFont="1" applyFill="1" applyBorder="1" applyAlignment="1">
      <alignment horizontal="center" vertical="center" wrapText="1"/>
    </xf>
    <xf numFmtId="0" fontId="13" fillId="10" borderId="5" xfId="0" applyFont="1" applyFill="1" applyBorder="1" applyAlignment="1">
      <alignment horizontal="center" vertical="center" wrapText="1"/>
    </xf>
    <xf numFmtId="14" fontId="13" fillId="10" borderId="5" xfId="0" applyNumberFormat="1" applyFont="1" applyFill="1" applyBorder="1" applyAlignment="1">
      <alignment horizontal="center" vertical="center" wrapText="1"/>
    </xf>
    <xf numFmtId="0" fontId="13" fillId="10" borderId="5" xfId="0" applyFont="1" applyFill="1" applyBorder="1" applyAlignment="1">
      <alignment horizontal="center" vertical="center"/>
    </xf>
    <xf numFmtId="49" fontId="13" fillId="10" borderId="5" xfId="0" applyNumberFormat="1" applyFont="1" applyFill="1" applyBorder="1" applyAlignment="1">
      <alignment horizontal="center" vertical="center" wrapText="1"/>
    </xf>
    <xf numFmtId="165" fontId="14" fillId="10" borderId="5" xfId="0" applyNumberFormat="1" applyFont="1" applyFill="1" applyBorder="1" applyAlignment="1">
      <alignment horizontal="center" vertical="center"/>
    </xf>
    <xf numFmtId="0" fontId="14" fillId="10" borderId="5" xfId="0" applyFont="1" applyFill="1" applyBorder="1" applyAlignment="1">
      <alignment vertical="center"/>
    </xf>
    <xf numFmtId="0" fontId="11" fillId="9" borderId="0" xfId="0" applyNumberFormat="1" applyFont="1" applyFill="1" applyBorder="1" applyAlignment="1">
      <alignment horizontal="center" vertical="center" wrapText="1"/>
    </xf>
    <xf numFmtId="0" fontId="11" fillId="9" borderId="6" xfId="0" applyNumberFormat="1" applyFont="1" applyFill="1" applyBorder="1" applyAlignment="1">
      <alignment horizontal="center" vertical="center" wrapText="1"/>
    </xf>
    <xf numFmtId="7" fontId="0" fillId="9" borderId="5" xfId="4" applyFont="1" applyFill="1" applyBorder="1" applyAlignment="1">
      <alignment horizontal="center" vertical="center"/>
    </xf>
    <xf numFmtId="165" fontId="0" fillId="9" borderId="5" xfId="0" applyNumberFormat="1" applyFill="1" applyBorder="1" applyAlignment="1">
      <alignment horizontal="center" vertical="center"/>
    </xf>
    <xf numFmtId="0" fontId="0" fillId="9" borderId="5" xfId="0" applyFill="1" applyBorder="1" applyAlignment="1">
      <alignment vertical="center"/>
    </xf>
    <xf numFmtId="168" fontId="6" fillId="9" borderId="5" xfId="5" applyNumberFormat="1" applyFill="1" applyBorder="1">
      <alignment horizontal="right" vertical="center" indent="1"/>
    </xf>
    <xf numFmtId="0" fontId="1" fillId="9" borderId="5" xfId="6" applyFill="1" applyBorder="1">
      <alignment horizontal="center" vertical="center"/>
    </xf>
    <xf numFmtId="15" fontId="0" fillId="9" borderId="7" xfId="0" applyNumberFormat="1" applyFill="1" applyBorder="1" applyAlignment="1">
      <alignment horizontal="center" vertical="center"/>
    </xf>
    <xf numFmtId="0" fontId="11" fillId="12" borderId="6" xfId="0" applyNumberFormat="1" applyFont="1" applyFill="1" applyBorder="1" applyAlignment="1">
      <alignment horizontal="center" vertical="center" wrapText="1"/>
    </xf>
    <xf numFmtId="7" fontId="0" fillId="12" borderId="5" xfId="4" applyFont="1" applyFill="1" applyBorder="1" applyAlignment="1">
      <alignment horizontal="center" vertical="center"/>
    </xf>
    <xf numFmtId="165" fontId="0" fillId="12" borderId="5" xfId="0" applyNumberFormat="1" applyFill="1" applyBorder="1" applyAlignment="1">
      <alignment horizontal="center" vertical="center"/>
    </xf>
    <xf numFmtId="0" fontId="0" fillId="12" borderId="5" xfId="0" applyFill="1" applyBorder="1" applyAlignment="1">
      <alignment vertical="center"/>
    </xf>
    <xf numFmtId="168" fontId="6" fillId="12" borderId="5" xfId="5" applyNumberFormat="1" applyFill="1" applyBorder="1">
      <alignment horizontal="right" vertical="center" indent="1"/>
    </xf>
    <xf numFmtId="0" fontId="1" fillId="12" borderId="5" xfId="6" applyFill="1" applyBorder="1">
      <alignment horizontal="center" vertical="center"/>
    </xf>
    <xf numFmtId="15" fontId="0" fillId="12" borderId="7" xfId="0" applyNumberFormat="1" applyFill="1" applyBorder="1" applyAlignment="1">
      <alignment horizontal="center" vertical="center"/>
    </xf>
    <xf numFmtId="0" fontId="11" fillId="11" borderId="6" xfId="0" applyNumberFormat="1" applyFont="1" applyFill="1" applyBorder="1" applyAlignment="1">
      <alignment horizontal="center" vertical="center" wrapText="1"/>
    </xf>
    <xf numFmtId="7" fontId="0" fillId="11" borderId="5" xfId="4" applyFont="1" applyFill="1" applyBorder="1" applyAlignment="1">
      <alignment horizontal="center" vertical="center"/>
    </xf>
    <xf numFmtId="165" fontId="0" fillId="11" borderId="5" xfId="0" applyNumberFormat="1" applyFill="1" applyBorder="1" applyAlignment="1">
      <alignment horizontal="center" vertical="center"/>
    </xf>
    <xf numFmtId="0" fontId="0" fillId="11" borderId="5" xfId="0" applyFill="1" applyBorder="1" applyAlignment="1">
      <alignment vertical="center"/>
    </xf>
    <xf numFmtId="168" fontId="6" fillId="11" borderId="5" xfId="5" applyNumberFormat="1" applyFill="1" applyBorder="1">
      <alignment horizontal="right" vertical="center" indent="1"/>
    </xf>
    <xf numFmtId="0" fontId="1" fillId="11" borderId="5" xfId="6" applyFill="1" applyBorder="1">
      <alignment horizontal="center" vertical="center"/>
    </xf>
    <xf numFmtId="15" fontId="0" fillId="11" borderId="7" xfId="0" applyNumberFormat="1" applyFill="1" applyBorder="1" applyAlignment="1">
      <alignment horizontal="center" vertical="center"/>
    </xf>
    <xf numFmtId="0" fontId="14" fillId="10" borderId="6" xfId="0" applyNumberFormat="1" applyFont="1" applyFill="1" applyBorder="1" applyAlignment="1">
      <alignment horizontal="center" vertical="center" wrapText="1"/>
    </xf>
    <xf numFmtId="7" fontId="14" fillId="10" borderId="5" xfId="4" applyFont="1" applyFill="1" applyBorder="1" applyAlignment="1">
      <alignment horizontal="center" vertical="center"/>
    </xf>
    <xf numFmtId="168" fontId="14" fillId="10" borderId="5" xfId="5" applyNumberFormat="1" applyFont="1" applyFill="1" applyBorder="1">
      <alignment horizontal="right" vertical="center" indent="1"/>
    </xf>
    <xf numFmtId="0" fontId="14" fillId="10" borderId="5" xfId="6" applyFont="1" applyFill="1" applyBorder="1">
      <alignment horizontal="center" vertical="center"/>
    </xf>
    <xf numFmtId="15" fontId="14" fillId="10" borderId="7" xfId="0" applyNumberFormat="1" applyFont="1" applyFill="1" applyBorder="1" applyAlignment="1">
      <alignment horizontal="center" vertical="center"/>
    </xf>
  </cellXfs>
  <cellStyles count="12">
    <cellStyle name="Discontinued" xfId="6"/>
    <cellStyle name="Flag Column" xfId="8"/>
    <cellStyle name="Heading 1" xfId="2" builtinId="16" customBuiltin="1"/>
    <cellStyle name="Heading 2" xfId="3" builtinId="17" customBuiltin="1"/>
    <cellStyle name="Heading 3" xfId="9" builtinId="18" customBuiltin="1"/>
    <cellStyle name="Normal" xfId="0" builtinId="0" customBuiltin="1"/>
    <cellStyle name="Normal 2" xfId="10"/>
    <cellStyle name="Normal 3" xfId="11"/>
    <cellStyle name="Table currency" xfId="4"/>
    <cellStyle name="Table details left" xfId="7"/>
    <cellStyle name="Table details right" xfId="5"/>
    <cellStyle name="Title" xfId="1" builtinId="15" customBuiltin="1"/>
  </cellStyles>
  <dxfs count="127">
    <dxf>
      <fill>
        <patternFill patternType="none">
          <fgColor indexed="64"/>
          <bgColor indexed="65"/>
        </patternFill>
      </fill>
    </dxf>
    <dxf>
      <fill>
        <patternFill patternType="solid">
          <fgColor rgb="FFFFE066"/>
          <bgColor indexed="65"/>
        </patternFill>
      </fill>
    </dxf>
    <dxf>
      <fill>
        <patternFill patternType="solid">
          <fgColor rgb="FFFF7546"/>
          <bgColor indexed="65"/>
        </patternFill>
      </fill>
    </dxf>
    <dxf>
      <fill>
        <patternFill patternType="solid">
          <fgColor rgb="FFA6A6A6"/>
          <bgColor indexed="65"/>
        </patternFill>
      </fill>
    </dxf>
    <dxf>
      <fill>
        <patternFill>
          <bgColor theme="9" tint="0.39994506668294322"/>
        </patternFill>
      </fill>
    </dxf>
    <dxf>
      <font>
        <color theme="1"/>
      </font>
      <fill>
        <patternFill>
          <bgColor theme="8" tint="0.39994506668294322"/>
        </patternFill>
      </fill>
    </dxf>
    <dxf>
      <font>
        <strike/>
        <color theme="1" tint="0.34998626667073579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font>
        <color theme="1"/>
      </font>
      <fill>
        <patternFill>
          <bgColor theme="8" tint="0.39994506668294322"/>
        </patternFill>
      </fill>
    </dxf>
    <dxf>
      <font>
        <strike/>
        <color theme="1" tint="0.34998626667073579"/>
      </font>
      <fill>
        <patternFill>
          <bgColor theme="0" tint="-0.34998626667073579"/>
        </patternFill>
      </fill>
    </dxf>
    <dxf>
      <numFmt numFmtId="20" formatCode="d\-mmm\-yy"/>
      <alignment horizontal="center" vertical="center" textRotation="0" wrapText="0" indent="0" justifyLastLine="0" shrinkToFit="0" readingOrder="0"/>
    </dxf>
    <dxf>
      <numFmt numFmtId="168" formatCode="&quot;$&quot;#,##0.00"/>
    </dxf>
    <dxf>
      <alignment horizontal="general" vertical="center" textRotation="0" wrapText="0" indent="0" justifyLastLine="0" shrinkToFit="0" readingOrder="0"/>
    </dxf>
    <dxf>
      <font>
        <sz val="9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z val="9"/>
        <name val="Arial"/>
        <scheme val="none"/>
      </font>
      <numFmt numFmtId="165" formatCode="0.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z val="9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z val="9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z val="9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numFmt numFmtId="19" formatCode="m/d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ill>
        <patternFill>
          <bgColor theme="9" tint="0.39994506668294322"/>
        </patternFill>
      </fill>
    </dxf>
    <dxf>
      <font>
        <color theme="1"/>
      </font>
      <fill>
        <patternFill>
          <bgColor theme="8" tint="0.39994506668294322"/>
        </patternFill>
      </fill>
    </dxf>
    <dxf>
      <font>
        <strike/>
        <color theme="1" tint="0.34998626667073579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font>
        <color theme="1"/>
      </font>
      <fill>
        <patternFill>
          <bgColor theme="8" tint="0.39994506668294322"/>
        </patternFill>
      </fill>
    </dxf>
    <dxf>
      <font>
        <strike/>
        <color theme="1" tint="0.34998626667073579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font>
        <color theme="1"/>
      </font>
      <fill>
        <patternFill>
          <bgColor theme="8" tint="0.39994506668294322"/>
        </patternFill>
      </fill>
    </dxf>
    <dxf>
      <font>
        <strike/>
        <color theme="1" tint="0.34998626667073579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font>
        <color theme="1"/>
      </font>
      <fill>
        <patternFill>
          <bgColor theme="8" tint="0.39994506668294322"/>
        </patternFill>
      </fill>
    </dxf>
    <dxf>
      <font>
        <strike/>
        <color theme="1" tint="0.34998626667073579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font>
        <color theme="1"/>
      </font>
      <fill>
        <patternFill>
          <bgColor theme="8" tint="0.39994506668294322"/>
        </patternFill>
      </fill>
    </dxf>
    <dxf>
      <font>
        <strike/>
        <color theme="1" tint="0.34998626667073579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font>
        <color theme="1"/>
      </font>
      <fill>
        <patternFill>
          <bgColor theme="8" tint="0.39994506668294322"/>
        </patternFill>
      </fill>
    </dxf>
    <dxf>
      <font>
        <strike/>
        <color theme="1" tint="0.34998626667073579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font>
        <color theme="1"/>
      </font>
      <fill>
        <patternFill>
          <bgColor theme="8" tint="0.39994506668294322"/>
        </patternFill>
      </fill>
    </dxf>
    <dxf>
      <font>
        <strike/>
        <color theme="1" tint="0.34998626667073579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font>
        <color theme="1"/>
      </font>
      <fill>
        <patternFill>
          <bgColor theme="8" tint="0.39994506668294322"/>
        </patternFill>
      </fill>
    </dxf>
    <dxf>
      <font>
        <strike/>
        <color theme="1" tint="0.34998626667073579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font>
        <color theme="1"/>
      </font>
      <fill>
        <patternFill>
          <bgColor theme="8" tint="0.39994506668294322"/>
        </patternFill>
      </fill>
    </dxf>
    <dxf>
      <font>
        <strike/>
        <color theme="1" tint="0.34998626667073579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font>
        <color theme="1"/>
      </font>
      <fill>
        <patternFill>
          <bgColor theme="8" tint="0.39994506668294322"/>
        </patternFill>
      </fill>
    </dxf>
    <dxf>
      <font>
        <strike/>
        <color theme="1" tint="0.34998626667073579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font>
        <color theme="1"/>
      </font>
      <fill>
        <patternFill>
          <bgColor theme="8" tint="0.39994506668294322"/>
        </patternFill>
      </fill>
    </dxf>
    <dxf>
      <font>
        <strike/>
        <color theme="1" tint="0.34998626667073579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font>
        <color theme="1"/>
      </font>
      <fill>
        <patternFill>
          <bgColor theme="8" tint="0.39994506668294322"/>
        </patternFill>
      </fill>
    </dxf>
    <dxf>
      <font>
        <strike/>
        <color theme="1" tint="0.34998626667073579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font>
        <color theme="1"/>
      </font>
      <fill>
        <patternFill>
          <bgColor theme="8" tint="0.39994506668294322"/>
        </patternFill>
      </fill>
    </dxf>
    <dxf>
      <font>
        <strike/>
        <color theme="1" tint="0.34998626667073579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font>
        <color theme="1"/>
      </font>
      <fill>
        <patternFill>
          <bgColor theme="8" tint="0.39994506668294322"/>
        </patternFill>
      </fill>
    </dxf>
    <dxf>
      <font>
        <strike/>
        <color theme="1" tint="0.34998626667073579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font>
        <color theme="1"/>
      </font>
      <fill>
        <patternFill>
          <bgColor theme="8" tint="0.39994506668294322"/>
        </patternFill>
      </fill>
    </dxf>
    <dxf>
      <font>
        <strike/>
        <color theme="1" tint="0.34998626667073579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font>
        <color theme="1"/>
      </font>
      <fill>
        <patternFill>
          <bgColor theme="8" tint="0.39994506668294322"/>
        </patternFill>
      </fill>
    </dxf>
    <dxf>
      <font>
        <strike/>
        <color theme="1" tint="0.34998626667073579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font>
        <color theme="1"/>
      </font>
      <fill>
        <patternFill>
          <bgColor theme="8" tint="0.39994506668294322"/>
        </patternFill>
      </fill>
    </dxf>
    <dxf>
      <font>
        <strike/>
        <color theme="1" tint="0.34998626667073579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font>
        <color theme="1"/>
      </font>
      <fill>
        <patternFill>
          <bgColor theme="8" tint="0.39994506668294322"/>
        </patternFill>
      </fill>
    </dxf>
    <dxf>
      <font>
        <strike/>
        <color theme="1" tint="0.34998626667073579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font>
        <color theme="1"/>
      </font>
      <fill>
        <patternFill>
          <bgColor theme="8" tint="0.39994506668294322"/>
        </patternFill>
      </fill>
    </dxf>
    <dxf>
      <font>
        <strike/>
        <color theme="1" tint="0.34998626667073579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font>
        <color theme="1"/>
      </font>
      <fill>
        <patternFill>
          <bgColor theme="8" tint="0.39994506668294322"/>
        </patternFill>
      </fill>
    </dxf>
    <dxf>
      <font>
        <strike/>
        <color theme="1" tint="0.34998626667073579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font>
        <color theme="1"/>
      </font>
      <fill>
        <patternFill>
          <bgColor theme="8" tint="0.39994506668294322"/>
        </patternFill>
      </fill>
    </dxf>
    <dxf>
      <font>
        <strike/>
        <color theme="1" tint="0.34998626667073579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font>
        <color theme="1"/>
      </font>
      <fill>
        <patternFill>
          <bgColor theme="8" tint="0.39994506668294322"/>
        </patternFill>
      </fill>
    </dxf>
    <dxf>
      <font>
        <strike/>
        <color theme="1" tint="0.34998626667073579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font>
        <color theme="1"/>
      </font>
      <fill>
        <patternFill>
          <bgColor theme="8" tint="0.39994506668294322"/>
        </patternFill>
      </fill>
    </dxf>
    <dxf>
      <font>
        <strike/>
        <color theme="1" tint="0.34998626667073579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font>
        <color theme="1"/>
      </font>
      <fill>
        <patternFill>
          <bgColor theme="8" tint="0.39994506668294322"/>
        </patternFill>
      </fill>
    </dxf>
    <dxf>
      <font>
        <strike/>
        <color theme="1" tint="0.34998626667073579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font>
        <color theme="1"/>
      </font>
      <fill>
        <patternFill>
          <bgColor theme="8" tint="0.39994506668294322"/>
        </patternFill>
      </fill>
    </dxf>
    <dxf>
      <font>
        <strike/>
        <color theme="1" tint="0.34998626667073579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font>
        <color theme="1"/>
      </font>
      <fill>
        <patternFill>
          <bgColor theme="8" tint="0.39994506668294322"/>
        </patternFill>
      </fill>
    </dxf>
    <dxf>
      <font>
        <strike/>
        <color theme="1" tint="0.34998626667073579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font>
        <color theme="1"/>
      </font>
      <fill>
        <patternFill>
          <bgColor theme="8" tint="0.39994506668294322"/>
        </patternFill>
      </fill>
    </dxf>
    <dxf>
      <font>
        <strike/>
        <color theme="1" tint="0.34998626667073579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font>
        <color theme="1"/>
      </font>
      <fill>
        <patternFill>
          <bgColor theme="8" tint="0.39994506668294322"/>
        </patternFill>
      </fill>
    </dxf>
    <dxf>
      <font>
        <strike/>
        <color theme="1" tint="0.34998626667073579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font>
        <color theme="1"/>
      </font>
      <fill>
        <patternFill>
          <bgColor theme="8" tint="0.39994506668294322"/>
        </patternFill>
      </fill>
    </dxf>
    <dxf>
      <font>
        <strike/>
        <color theme="1" tint="0.34998626667073579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font>
        <color theme="1"/>
      </font>
      <fill>
        <patternFill>
          <bgColor theme="8" tint="0.39994506668294322"/>
        </patternFill>
      </fill>
    </dxf>
    <dxf>
      <font>
        <strike/>
        <color theme="1" tint="0.34998626667073579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font>
        <color theme="1"/>
      </font>
      <fill>
        <patternFill>
          <bgColor theme="8" tint="0.39994506668294322"/>
        </patternFill>
      </fill>
    </dxf>
    <dxf>
      <font>
        <strike/>
        <color theme="1" tint="0.34998626667073579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font>
        <color theme="1"/>
      </font>
      <fill>
        <patternFill>
          <bgColor theme="8" tint="0.39994506668294322"/>
        </patternFill>
      </fill>
    </dxf>
    <dxf>
      <font>
        <strike/>
        <color theme="1" tint="0.34998626667073579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font>
        <color theme="1"/>
      </font>
      <fill>
        <patternFill>
          <bgColor theme="8" tint="0.39994506668294322"/>
        </patternFill>
      </fill>
    </dxf>
    <dxf>
      <font>
        <strike/>
        <color theme="1" tint="0.34998626667073579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font>
        <color theme="1"/>
      </font>
      <fill>
        <patternFill>
          <bgColor theme="8" tint="0.39994506668294322"/>
        </patternFill>
      </fill>
    </dxf>
    <dxf>
      <font>
        <strike/>
        <color theme="1" tint="0.34998626667073579"/>
      </font>
      <fill>
        <patternFill>
          <bgColor theme="0" tint="-0.34998626667073579"/>
        </patternFill>
      </fill>
    </dxf>
    <dxf>
      <font>
        <color theme="0"/>
      </font>
      <fill>
        <patternFill patternType="none">
          <bgColor auto="1"/>
        </patternFill>
      </fill>
      <border diagonalUp="0" diagonalDown="0">
        <left/>
        <right/>
        <top/>
        <bottom style="thin">
          <color theme="0"/>
        </bottom>
        <vertical style="thin">
          <color theme="0"/>
        </vertical>
        <horizontal/>
      </border>
    </dxf>
    <dxf>
      <font>
        <b/>
        <i val="0"/>
        <color theme="0"/>
      </font>
      <fill>
        <patternFill>
          <bgColor theme="6" tint="-0.24994659260841701"/>
        </patternFill>
      </fill>
      <border>
        <top/>
        <bottom style="thick">
          <color theme="0"/>
        </bottom>
        <vertical style="thick">
          <color theme="0"/>
        </vertical>
      </border>
    </dxf>
    <dxf>
      <font>
        <color theme="1"/>
      </font>
      <fill>
        <patternFill patternType="solid">
          <fgColor theme="6" tint="0.79961546678060247"/>
          <bgColor theme="4" tint="0.89996032593768116"/>
        </patternFill>
      </fill>
      <border>
        <vertical/>
        <horizontal style="thick">
          <color theme="0"/>
        </horizontal>
      </border>
    </dxf>
  </dxfs>
  <tableStyles count="1" defaultTableStyle="Inventory List" defaultPivotStyle="PivotStyleLight16">
    <tableStyle name="Inventory List" pivot="0" count="3">
      <tableStyleElement type="wholeTable" dxfId="126"/>
      <tableStyleElement type="headerRow" dxfId="125"/>
      <tableStyleElement type="firstColumn" dxfId="12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29079</xdr:rowOff>
    </xdr:from>
    <xdr:to>
      <xdr:col>13</xdr:col>
      <xdr:colOff>81643</xdr:colOff>
      <xdr:row>2</xdr:row>
      <xdr:rowOff>13607</xdr:rowOff>
    </xdr:to>
    <xdr:grpSp>
      <xdr:nvGrpSpPr>
        <xdr:cNvPr id="2" name="Title Border" descr="Title border"/>
        <xdr:cNvGrpSpPr/>
      </xdr:nvGrpSpPr>
      <xdr:grpSpPr>
        <a:xfrm flipH="1">
          <a:off x="0" y="656608"/>
          <a:ext cx="13046849" cy="141411"/>
          <a:chOff x="313008" y="630515"/>
          <a:chExt cx="11155680" cy="93385"/>
        </a:xfrm>
      </xdr:grpSpPr>
      <xdr:sp macro="" textlink="">
        <xdr:nvSpPr>
          <xdr:cNvPr id="16" name="Title border shape"/>
          <xdr:cNvSpPr/>
        </xdr:nvSpPr>
        <xdr:spPr>
          <a:xfrm>
            <a:off x="313008" y="630517"/>
            <a:ext cx="11155680" cy="89169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7" name="Title border shape"/>
          <xdr:cNvSpPr/>
        </xdr:nvSpPr>
        <xdr:spPr>
          <a:xfrm>
            <a:off x="313008" y="630515"/>
            <a:ext cx="121469" cy="93385"/>
          </a:xfrm>
          <a:prstGeom prst="rtTriangle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</xdr:colOff>
          <xdr:row>0</xdr:row>
          <xdr:rowOff>38100</xdr:rowOff>
        </xdr:from>
        <xdr:to>
          <xdr:col>11</xdr:col>
          <xdr:colOff>1276350</xdr:colOff>
          <xdr:row>0</xdr:row>
          <xdr:rowOff>609600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FF0000"/>
                  </a:solidFill>
                  <a:latin typeface="Calibri"/>
                </a:rPr>
                <a:t>Sort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0</xdr:row>
          <xdr:rowOff>38100</xdr:rowOff>
        </xdr:from>
        <xdr:to>
          <xdr:col>10</xdr:col>
          <xdr:colOff>1076325</xdr:colOff>
          <xdr:row>0</xdr:row>
          <xdr:rowOff>609600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</a:rPr>
                <a:t>Open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</a:rPr>
                <a:t>Email Form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InventoryList" displayName="InventoryList" ref="A3:M120" totalsRowShown="0" headerRowCellStyle="Heading 1">
  <autoFilter ref="A3:M120"/>
  <sortState ref="A4:M120">
    <sortCondition descending="1" sortBy="cellColor" ref="A4:A120" dxfId="3"/>
    <sortCondition descending="1" sortBy="cellColor" ref="A4:A120" dxfId="2"/>
    <sortCondition descending="1" sortBy="cellColor" ref="A4:A120" dxfId="1"/>
    <sortCondition descending="1" sortBy="cellColor" ref="A4:A120" dxfId="0"/>
    <sortCondition ref="E4:E120"/>
    <sortCondition ref="G4:G120"/>
  </sortState>
  <tableColumns count="13">
    <tableColumn id="1" name="Serial Number" dataDxfId="21" dataCellStyle="Table details left"/>
    <tableColumn id="2" name="Lot" dataDxfId="20" dataCellStyle="Table details left"/>
    <tableColumn id="3" name="Expiration" dataDxfId="19" dataCellStyle="Table details left"/>
    <tableColumn id="4" name="Type" dataDxfId="18" dataCellStyle="Table currency"/>
    <tableColumn id="12" name="Component" dataDxfId="17" dataCellStyle="Table currency"/>
    <tableColumn id="13" name="Balance" dataDxfId="16" dataCellStyle="Table currency"/>
    <tableColumn id="15" name="Concentration" dataDxfId="15" dataCellStyle="Table currency"/>
    <tableColumn id="16" name="Uncertainty (%)" dataDxfId="14" dataCellStyle="Table currency"/>
    <tableColumn id="14" name="NIST Reference" dataDxfId="13" dataCellStyle="Table currency"/>
    <tableColumn id="5" name="Current Pressure" dataDxfId="12" dataCellStyle="Table details right"/>
    <tableColumn id="19" name="Cost" dataDxfId="11" dataCellStyle="Table details right"/>
    <tableColumn id="9" name="Out of Stock" dataCellStyle="Discontinued"/>
    <tableColumn id="8" name="Pressure Check Date" dataDxfId="10"/>
  </tableColumns>
  <tableStyleInfo name="Inventory List" showFirstColumn="1" showLastColumn="0" showRowStripes="1" showColumnStripes="0"/>
  <extLst>
    <ext xmlns:x14="http://schemas.microsoft.com/office/spreadsheetml/2009/9/main" uri="{504A1905-F514-4f6f-8877-14C23A59335A}">
      <x14:table altTextSummary="Enter inventory details such as, Inventory ID, Name, Description, Unit Price, Quantity in Stock, Reorder Level, Reorder Time in Days, Quantity in Reorder, and Discontinued. Inventory Value is a calculated field. Items to reorder are flagged in column B and the row highlighted. Discontinued items have strikethrough formatting and the text &quot;yes&quot; in the Discontinued column"/>
    </ext>
  </extLst>
</table>
</file>

<file path=xl/theme/theme1.xml><?xml version="1.0" encoding="utf-8"?>
<a:theme xmlns:a="http://schemas.openxmlformats.org/drawingml/2006/main" name="Office Theme">
  <a:themeElements>
    <a:clrScheme name="Inventory List">
      <a:dk1>
        <a:sysClr val="windowText" lastClr="000000"/>
      </a:dk1>
      <a:lt1>
        <a:sysClr val="window" lastClr="FFFFFF"/>
      </a:lt1>
      <a:dk2>
        <a:srgbClr val="000000"/>
      </a:dk2>
      <a:lt2>
        <a:srgbClr val="FFFFFF"/>
      </a:lt2>
      <a:accent1>
        <a:srgbClr val="191C1F"/>
      </a:accent1>
      <a:accent2>
        <a:srgbClr val="456185"/>
      </a:accent2>
      <a:accent3>
        <a:srgbClr val="5B9EA4"/>
      </a:accent3>
      <a:accent4>
        <a:srgbClr val="F79646"/>
      </a:accent4>
      <a:accent5>
        <a:srgbClr val="CC3300"/>
      </a:accent5>
      <a:accent6>
        <a:srgbClr val="FFCC00"/>
      </a:accent6>
      <a:hlink>
        <a:srgbClr val="859EBF"/>
      </a:hlink>
      <a:folHlink>
        <a:srgbClr val="5B9EA4"/>
      </a:folHlink>
    </a:clrScheme>
    <a:fontScheme name="44 Inventory List">
      <a:majorFont>
        <a:latin typeface="Corbel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5" tint="0.59999389629810485"/>
    <pageSetUpPr fitToPage="1"/>
  </sheetPr>
  <dimension ref="A1:N121"/>
  <sheetViews>
    <sheetView showGridLines="0" zoomScale="85" zoomScaleNormal="85" workbookViewId="0">
      <selection sqref="A1:E1"/>
    </sheetView>
  </sheetViews>
  <sheetFormatPr defaultRowHeight="30" customHeight="1" x14ac:dyDescent="0.25"/>
  <cols>
    <col min="1" max="1" width="13.28515625" customWidth="1"/>
    <col min="2" max="2" width="12.7109375" customWidth="1"/>
    <col min="3" max="3" width="14.140625" style="1" customWidth="1"/>
    <col min="4" max="4" width="9.85546875" style="1" customWidth="1"/>
    <col min="5" max="5" width="14.7109375" style="1" customWidth="1"/>
    <col min="6" max="6" width="11.5703125" style="1" customWidth="1"/>
    <col min="7" max="7" width="16.7109375" style="1" customWidth="1"/>
    <col min="8" max="8" width="18.140625" style="1" customWidth="1"/>
    <col min="9" max="9" width="15.28515625" style="1" customWidth="1"/>
    <col min="10" max="10" width="14" style="1" customWidth="1"/>
    <col min="11" max="11" width="16.7109375" style="2" customWidth="1"/>
    <col min="12" max="12" width="19.7109375" customWidth="1"/>
    <col min="13" max="13" width="17.7109375" customWidth="1"/>
  </cols>
  <sheetData>
    <row r="1" spans="1:14" ht="49.5" customHeight="1" x14ac:dyDescent="0.25">
      <c r="A1" s="64" t="s">
        <v>10</v>
      </c>
      <c r="B1" s="64"/>
      <c r="C1" s="64"/>
      <c r="D1" s="64"/>
      <c r="E1" s="64"/>
      <c r="F1" s="7"/>
      <c r="G1" s="65"/>
      <c r="H1" s="65"/>
      <c r="I1" s="6"/>
      <c r="J1" s="5"/>
      <c r="K1" s="11"/>
      <c r="L1" s="11"/>
      <c r="M1" s="9">
        <f ca="1">TODAY()</f>
        <v>43531</v>
      </c>
    </row>
    <row r="2" spans="1:14" ht="12" customHeight="1" x14ac:dyDescent="0.25">
      <c r="C2" s="4"/>
      <c r="D2"/>
      <c r="E2"/>
      <c r="K2" s="1"/>
      <c r="L2" s="1"/>
      <c r="M2" s="1"/>
      <c r="N2" s="2"/>
    </row>
    <row r="3" spans="1:14" ht="42.75" customHeight="1" thickBot="1" x14ac:dyDescent="0.3">
      <c r="A3" s="3" t="s">
        <v>1</v>
      </c>
      <c r="B3" s="3" t="s">
        <v>2</v>
      </c>
      <c r="C3" s="3" t="s">
        <v>3</v>
      </c>
      <c r="D3" s="3" t="s">
        <v>5</v>
      </c>
      <c r="E3" s="3" t="s">
        <v>6</v>
      </c>
      <c r="F3" s="3" t="s">
        <v>7</v>
      </c>
      <c r="G3" s="3" t="s">
        <v>8</v>
      </c>
      <c r="H3" s="3" t="s">
        <v>162</v>
      </c>
      <c r="I3" s="3" t="s">
        <v>9</v>
      </c>
      <c r="J3" s="3" t="s">
        <v>4</v>
      </c>
      <c r="K3" s="3" t="s">
        <v>265</v>
      </c>
      <c r="L3" s="3" t="s">
        <v>197</v>
      </c>
      <c r="M3" s="10" t="s">
        <v>161</v>
      </c>
    </row>
    <row r="4" spans="1:14" s="52" customFormat="1" ht="30" customHeight="1" thickTop="1" thickBot="1" x14ac:dyDescent="0.3">
      <c r="A4" s="86" t="s">
        <v>314</v>
      </c>
      <c r="B4" s="67" t="s">
        <v>155</v>
      </c>
      <c r="C4" s="68">
        <v>45181</v>
      </c>
      <c r="D4" s="87" t="s">
        <v>156</v>
      </c>
      <c r="E4" s="69" t="s">
        <v>80</v>
      </c>
      <c r="F4" s="69" t="s">
        <v>89</v>
      </c>
      <c r="G4" s="70">
        <v>1.0004000000000001E-2</v>
      </c>
      <c r="H4" s="88">
        <v>0.2</v>
      </c>
      <c r="I4" s="69" t="s">
        <v>155</v>
      </c>
      <c r="J4" s="89">
        <v>1900</v>
      </c>
      <c r="K4" s="90">
        <v>3000</v>
      </c>
      <c r="L4" s="91"/>
      <c r="M4" s="92">
        <v>43430</v>
      </c>
    </row>
    <row r="5" spans="1:14" s="52" customFormat="1" ht="30" customHeight="1" thickTop="1" thickBot="1" x14ac:dyDescent="0.3">
      <c r="A5" s="86" t="s">
        <v>320</v>
      </c>
      <c r="B5" s="67" t="s">
        <v>321</v>
      </c>
      <c r="C5" s="68">
        <v>44749</v>
      </c>
      <c r="D5" s="87" t="s">
        <v>154</v>
      </c>
      <c r="E5" s="69" t="s">
        <v>80</v>
      </c>
      <c r="F5" s="69" t="s">
        <v>89</v>
      </c>
      <c r="G5" s="70" t="s">
        <v>142</v>
      </c>
      <c r="H5" s="88">
        <v>0.40600000000000003</v>
      </c>
      <c r="I5" s="69" t="s">
        <v>114</v>
      </c>
      <c r="J5" s="89">
        <v>1900</v>
      </c>
      <c r="K5" s="90">
        <v>3000</v>
      </c>
      <c r="L5" s="91"/>
      <c r="M5" s="92">
        <v>43430</v>
      </c>
    </row>
    <row r="6" spans="1:14" s="52" customFormat="1" ht="30" customHeight="1" thickTop="1" thickBot="1" x14ac:dyDescent="0.3">
      <c r="A6" s="86" t="s">
        <v>175</v>
      </c>
      <c r="B6" s="67" t="s">
        <v>173</v>
      </c>
      <c r="C6" s="68">
        <v>45606</v>
      </c>
      <c r="D6" s="87" t="s">
        <v>168</v>
      </c>
      <c r="E6" s="69" t="s">
        <v>80</v>
      </c>
      <c r="F6" s="69" t="s">
        <v>89</v>
      </c>
      <c r="G6" s="70" t="s">
        <v>174</v>
      </c>
      <c r="H6" s="88">
        <v>0.41099999999999998</v>
      </c>
      <c r="I6" s="69" t="s">
        <v>114</v>
      </c>
      <c r="J6" s="89">
        <v>1900</v>
      </c>
      <c r="K6" s="90"/>
      <c r="L6" s="91"/>
      <c r="M6" s="92"/>
    </row>
    <row r="7" spans="1:14" s="52" customFormat="1" ht="30" customHeight="1" thickTop="1" thickBot="1" x14ac:dyDescent="0.3">
      <c r="A7" s="85" t="s">
        <v>318</v>
      </c>
      <c r="B7" s="53" t="s">
        <v>319</v>
      </c>
      <c r="C7" s="54">
        <v>45516</v>
      </c>
      <c r="D7" s="55" t="s">
        <v>154</v>
      </c>
      <c r="E7" s="56" t="s">
        <v>80</v>
      </c>
      <c r="F7" s="56" t="s">
        <v>88</v>
      </c>
      <c r="G7" s="63" t="s">
        <v>221</v>
      </c>
      <c r="H7" s="57">
        <v>0.40300000000000002</v>
      </c>
      <c r="I7" s="58" t="s">
        <v>222</v>
      </c>
      <c r="J7" s="59">
        <v>1900</v>
      </c>
      <c r="K7" s="60">
        <v>3000</v>
      </c>
      <c r="L7" s="61"/>
      <c r="M7" s="62">
        <v>43430</v>
      </c>
    </row>
    <row r="8" spans="1:14" s="52" customFormat="1" ht="30" customHeight="1" thickTop="1" thickBot="1" x14ac:dyDescent="0.3">
      <c r="A8" s="86" t="s">
        <v>289</v>
      </c>
      <c r="B8" s="67" t="s">
        <v>290</v>
      </c>
      <c r="C8" s="68">
        <v>45920</v>
      </c>
      <c r="D8" s="87" t="s">
        <v>168</v>
      </c>
      <c r="E8" s="69" t="s">
        <v>80</v>
      </c>
      <c r="F8" s="69" t="s">
        <v>88</v>
      </c>
      <c r="G8" s="70" t="s">
        <v>291</v>
      </c>
      <c r="H8" s="88">
        <v>0.25700000000000001</v>
      </c>
      <c r="I8" s="69" t="s">
        <v>95</v>
      </c>
      <c r="J8" s="89">
        <v>1000</v>
      </c>
      <c r="K8" s="90"/>
      <c r="L8" s="91"/>
      <c r="M8" s="92"/>
    </row>
    <row r="9" spans="1:14" s="52" customFormat="1" ht="30" customHeight="1" thickTop="1" thickBot="1" x14ac:dyDescent="0.3">
      <c r="A9" s="86" t="s">
        <v>312</v>
      </c>
      <c r="B9" s="67" t="s">
        <v>155</v>
      </c>
      <c r="C9" s="68">
        <v>45181</v>
      </c>
      <c r="D9" s="87" t="s">
        <v>156</v>
      </c>
      <c r="E9" s="69" t="s">
        <v>80</v>
      </c>
      <c r="F9" s="69" t="s">
        <v>89</v>
      </c>
      <c r="G9" s="70" t="s">
        <v>313</v>
      </c>
      <c r="H9" s="88">
        <v>0.2</v>
      </c>
      <c r="I9" s="69" t="s">
        <v>155</v>
      </c>
      <c r="J9" s="89">
        <v>1900</v>
      </c>
      <c r="K9" s="90">
        <v>3000</v>
      </c>
      <c r="L9" s="91"/>
      <c r="M9" s="92">
        <v>43430</v>
      </c>
    </row>
    <row r="10" spans="1:14" s="52" customFormat="1" ht="30" customHeight="1" thickTop="1" thickBot="1" x14ac:dyDescent="0.3">
      <c r="A10" s="86" t="s">
        <v>13</v>
      </c>
      <c r="B10" s="67" t="s">
        <v>47</v>
      </c>
      <c r="C10" s="68">
        <v>43743</v>
      </c>
      <c r="D10" s="87" t="s">
        <v>154</v>
      </c>
      <c r="E10" s="69" t="s">
        <v>80</v>
      </c>
      <c r="F10" s="69" t="s">
        <v>88</v>
      </c>
      <c r="G10" s="70" t="s">
        <v>124</v>
      </c>
      <c r="H10" s="88">
        <v>0.3236245954692557</v>
      </c>
      <c r="I10" s="69" t="s">
        <v>94</v>
      </c>
      <c r="J10" s="89">
        <v>950</v>
      </c>
      <c r="K10" s="90">
        <v>3000</v>
      </c>
      <c r="L10" s="91"/>
      <c r="M10" s="92">
        <v>43417</v>
      </c>
    </row>
    <row r="11" spans="1:14" s="52" customFormat="1" ht="30" customHeight="1" thickTop="1" thickBot="1" x14ac:dyDescent="0.3">
      <c r="A11" s="86" t="s">
        <v>311</v>
      </c>
      <c r="B11" s="67" t="s">
        <v>155</v>
      </c>
      <c r="C11" s="68">
        <v>45182</v>
      </c>
      <c r="D11" s="87" t="s">
        <v>156</v>
      </c>
      <c r="E11" s="69" t="s">
        <v>78</v>
      </c>
      <c r="F11" s="69" t="s">
        <v>89</v>
      </c>
      <c r="G11" s="70">
        <v>1.0015E-2</v>
      </c>
      <c r="H11" s="88">
        <v>0.2</v>
      </c>
      <c r="I11" s="69" t="s">
        <v>155</v>
      </c>
      <c r="J11" s="89">
        <v>1900</v>
      </c>
      <c r="K11" s="90">
        <v>3000</v>
      </c>
      <c r="L11" s="91"/>
      <c r="M11" s="92">
        <v>43430</v>
      </c>
    </row>
    <row r="12" spans="1:14" s="52" customFormat="1" ht="30" customHeight="1" thickTop="1" thickBot="1" x14ac:dyDescent="0.3">
      <c r="A12" s="86" t="s">
        <v>309</v>
      </c>
      <c r="B12" s="67" t="s">
        <v>155</v>
      </c>
      <c r="C12" s="68">
        <v>45181</v>
      </c>
      <c r="D12" s="87" t="s">
        <v>156</v>
      </c>
      <c r="E12" s="69" t="s">
        <v>78</v>
      </c>
      <c r="F12" s="69" t="s">
        <v>89</v>
      </c>
      <c r="G12" s="70" t="s">
        <v>310</v>
      </c>
      <c r="H12" s="88">
        <v>0.2</v>
      </c>
      <c r="I12" s="69" t="s">
        <v>155</v>
      </c>
      <c r="J12" s="89">
        <v>1900</v>
      </c>
      <c r="K12" s="90">
        <v>3000</v>
      </c>
      <c r="L12" s="91"/>
      <c r="M12" s="92">
        <v>43430</v>
      </c>
    </row>
    <row r="13" spans="1:14" s="52" customFormat="1" ht="30" customHeight="1" thickTop="1" thickBot="1" x14ac:dyDescent="0.3">
      <c r="A13" s="86" t="s">
        <v>166</v>
      </c>
      <c r="B13" s="67" t="s">
        <v>167</v>
      </c>
      <c r="C13" s="68">
        <v>45610</v>
      </c>
      <c r="D13" s="87" t="s">
        <v>168</v>
      </c>
      <c r="E13" s="69" t="s">
        <v>78</v>
      </c>
      <c r="F13" s="69" t="s">
        <v>89</v>
      </c>
      <c r="G13" s="70" t="s">
        <v>169</v>
      </c>
      <c r="H13" s="88">
        <v>0.15</v>
      </c>
      <c r="I13" s="69">
        <v>2751</v>
      </c>
      <c r="J13" s="89">
        <v>1900</v>
      </c>
      <c r="K13" s="90"/>
      <c r="L13" s="91"/>
      <c r="M13" s="92">
        <v>43040</v>
      </c>
    </row>
    <row r="14" spans="1:14" s="52" customFormat="1" ht="30" customHeight="1" thickTop="1" thickBot="1" x14ac:dyDescent="0.3">
      <c r="A14" s="86" t="s">
        <v>266</v>
      </c>
      <c r="B14" s="67" t="s">
        <v>44</v>
      </c>
      <c r="C14" s="68">
        <v>44076</v>
      </c>
      <c r="D14" s="87" t="s">
        <v>154</v>
      </c>
      <c r="E14" s="69" t="s">
        <v>78</v>
      </c>
      <c r="F14" s="69" t="s">
        <v>88</v>
      </c>
      <c r="G14" s="70" t="s">
        <v>120</v>
      </c>
      <c r="H14" s="88">
        <v>0.15024038461538461</v>
      </c>
      <c r="I14" s="69" t="s">
        <v>90</v>
      </c>
      <c r="J14" s="89">
        <v>450</v>
      </c>
      <c r="K14" s="90">
        <v>3000</v>
      </c>
      <c r="L14" s="91"/>
      <c r="M14" s="92">
        <v>43040</v>
      </c>
    </row>
    <row r="15" spans="1:14" s="52" customFormat="1" ht="30" customHeight="1" thickTop="1" thickBot="1" x14ac:dyDescent="0.3">
      <c r="A15" s="86" t="s">
        <v>158</v>
      </c>
      <c r="B15" s="67" t="s">
        <v>159</v>
      </c>
      <c r="C15" s="68">
        <v>44106</v>
      </c>
      <c r="D15" s="87" t="s">
        <v>154</v>
      </c>
      <c r="E15" s="69" t="s">
        <v>78</v>
      </c>
      <c r="F15" s="69" t="s">
        <v>88</v>
      </c>
      <c r="G15" s="70" t="s">
        <v>160</v>
      </c>
      <c r="H15" s="88">
        <v>0.10003000900270081</v>
      </c>
      <c r="I15" s="69">
        <v>2751</v>
      </c>
      <c r="J15" s="89">
        <v>1600</v>
      </c>
      <c r="K15" s="90">
        <v>3000</v>
      </c>
      <c r="L15" s="91"/>
      <c r="M15" s="92">
        <v>43431</v>
      </c>
    </row>
    <row r="16" spans="1:14" s="52" customFormat="1" ht="30" customHeight="1" thickTop="1" thickBot="1" x14ac:dyDescent="0.3">
      <c r="A16" s="86" t="s">
        <v>259</v>
      </c>
      <c r="B16" s="67" t="s">
        <v>261</v>
      </c>
      <c r="C16" s="68">
        <v>45816</v>
      </c>
      <c r="D16" s="87" t="s">
        <v>168</v>
      </c>
      <c r="E16" s="69" t="s">
        <v>82</v>
      </c>
      <c r="F16" s="69" t="s">
        <v>89</v>
      </c>
      <c r="G16" s="70" t="s">
        <v>260</v>
      </c>
      <c r="H16" s="88">
        <v>0.53200000000000003</v>
      </c>
      <c r="I16" s="69" t="s">
        <v>106</v>
      </c>
      <c r="J16" s="89">
        <v>1800</v>
      </c>
      <c r="K16" s="90"/>
      <c r="L16" s="91"/>
      <c r="M16" s="92">
        <v>43040</v>
      </c>
    </row>
    <row r="17" spans="1:13" s="52" customFormat="1" ht="30" customHeight="1" thickTop="1" thickBot="1" x14ac:dyDescent="0.3">
      <c r="A17" s="86" t="s">
        <v>276</v>
      </c>
      <c r="B17" s="67" t="s">
        <v>277</v>
      </c>
      <c r="C17" s="68">
        <v>44283</v>
      </c>
      <c r="D17" s="87" t="s">
        <v>154</v>
      </c>
      <c r="E17" s="69" t="s">
        <v>82</v>
      </c>
      <c r="F17" s="69" t="s">
        <v>89</v>
      </c>
      <c r="G17" s="70" t="s">
        <v>278</v>
      </c>
      <c r="H17" s="88">
        <v>0.11799999999999999</v>
      </c>
      <c r="I17" s="69" t="s">
        <v>279</v>
      </c>
      <c r="J17" s="89">
        <v>750</v>
      </c>
      <c r="K17" s="90">
        <v>3000</v>
      </c>
      <c r="L17" s="91"/>
      <c r="M17" s="92">
        <v>43410</v>
      </c>
    </row>
    <row r="18" spans="1:13" s="52" customFormat="1" ht="30" customHeight="1" thickTop="1" thickBot="1" x14ac:dyDescent="0.3">
      <c r="A18" s="86" t="s">
        <v>326</v>
      </c>
      <c r="B18" s="67" t="s">
        <v>327</v>
      </c>
      <c r="C18" s="68">
        <v>44749</v>
      </c>
      <c r="D18" s="87" t="s">
        <v>154</v>
      </c>
      <c r="E18" s="69" t="s">
        <v>82</v>
      </c>
      <c r="F18" s="69" t="s">
        <v>89</v>
      </c>
      <c r="G18" s="70" t="s">
        <v>328</v>
      </c>
      <c r="H18" s="88">
        <v>0.17</v>
      </c>
      <c r="I18" s="69" t="s">
        <v>329</v>
      </c>
      <c r="J18" s="89">
        <v>1900</v>
      </c>
      <c r="K18" s="90">
        <v>3000</v>
      </c>
      <c r="L18" s="91"/>
      <c r="M18" s="92">
        <v>43467</v>
      </c>
    </row>
    <row r="19" spans="1:13" s="52" customFormat="1" ht="30" customHeight="1" thickTop="1" thickBot="1" x14ac:dyDescent="0.3">
      <c r="A19" s="86" t="s">
        <v>182</v>
      </c>
      <c r="B19" s="67" t="s">
        <v>183</v>
      </c>
      <c r="C19" s="68">
        <v>45569</v>
      </c>
      <c r="D19" s="87" t="s">
        <v>168</v>
      </c>
      <c r="E19" s="69" t="s">
        <v>82</v>
      </c>
      <c r="F19" s="69" t="s">
        <v>89</v>
      </c>
      <c r="G19" s="70" t="s">
        <v>184</v>
      </c>
      <c r="H19" s="88">
        <v>0.20499999999999999</v>
      </c>
      <c r="I19" s="69" t="s">
        <v>112</v>
      </c>
      <c r="J19" s="89">
        <v>1625</v>
      </c>
      <c r="K19" s="90"/>
      <c r="L19" s="91"/>
      <c r="M19" s="92">
        <v>43040</v>
      </c>
    </row>
    <row r="20" spans="1:13" s="52" customFormat="1" ht="30" customHeight="1" thickTop="1" thickBot="1" x14ac:dyDescent="0.3">
      <c r="A20" s="86" t="s">
        <v>283</v>
      </c>
      <c r="B20" s="67" t="s">
        <v>284</v>
      </c>
      <c r="C20" s="68">
        <v>44459</v>
      </c>
      <c r="D20" s="87" t="s">
        <v>154</v>
      </c>
      <c r="E20" s="69" t="s">
        <v>82</v>
      </c>
      <c r="F20" s="69" t="s">
        <v>89</v>
      </c>
      <c r="G20" s="70" t="s">
        <v>285</v>
      </c>
      <c r="H20" s="88">
        <v>0.20200000000000001</v>
      </c>
      <c r="I20" s="69" t="s">
        <v>286</v>
      </c>
      <c r="J20" s="89">
        <v>1900</v>
      </c>
      <c r="K20" s="90">
        <v>3000</v>
      </c>
      <c r="L20" s="91"/>
      <c r="M20" s="92">
        <v>43410</v>
      </c>
    </row>
    <row r="21" spans="1:13" s="52" customFormat="1" ht="30" customHeight="1" thickTop="1" thickBot="1" x14ac:dyDescent="0.3">
      <c r="A21" s="86" t="s">
        <v>304</v>
      </c>
      <c r="B21" s="67" t="s">
        <v>306</v>
      </c>
      <c r="C21" s="68">
        <v>46216</v>
      </c>
      <c r="D21" s="87" t="s">
        <v>168</v>
      </c>
      <c r="E21" s="69" t="s">
        <v>82</v>
      </c>
      <c r="F21" s="69" t="s">
        <v>89</v>
      </c>
      <c r="G21" s="70" t="s">
        <v>305</v>
      </c>
      <c r="H21" s="88">
        <v>0.253</v>
      </c>
      <c r="I21" s="69" t="s">
        <v>99</v>
      </c>
      <c r="J21" s="89">
        <v>1400</v>
      </c>
      <c r="K21" s="90"/>
      <c r="L21" s="91"/>
      <c r="M21" s="92">
        <v>43382</v>
      </c>
    </row>
    <row r="22" spans="1:13" s="52" customFormat="1" ht="30" customHeight="1" thickTop="1" thickBot="1" x14ac:dyDescent="0.3">
      <c r="A22" s="86" t="s">
        <v>19</v>
      </c>
      <c r="B22" s="67" t="s">
        <v>53</v>
      </c>
      <c r="C22" s="68">
        <v>44465</v>
      </c>
      <c r="D22" s="87" t="s">
        <v>154</v>
      </c>
      <c r="E22" s="69" t="s">
        <v>82</v>
      </c>
      <c r="F22" s="69" t="s">
        <v>89</v>
      </c>
      <c r="G22" s="70" t="s">
        <v>128</v>
      </c>
      <c r="H22" s="88">
        <v>0.21145906756620683</v>
      </c>
      <c r="I22" s="69" t="s">
        <v>99</v>
      </c>
      <c r="J22" s="89">
        <v>900</v>
      </c>
      <c r="K22" s="90">
        <v>3000</v>
      </c>
      <c r="L22" s="91"/>
      <c r="M22" s="92">
        <v>43333</v>
      </c>
    </row>
    <row r="23" spans="1:13" s="52" customFormat="1" ht="30" customHeight="1" thickTop="1" thickBot="1" x14ac:dyDescent="0.3">
      <c r="A23" s="86" t="s">
        <v>192</v>
      </c>
      <c r="B23" s="67" t="s">
        <v>193</v>
      </c>
      <c r="C23" s="68">
        <v>45081</v>
      </c>
      <c r="D23" s="87" t="s">
        <v>154</v>
      </c>
      <c r="E23" s="69" t="s">
        <v>81</v>
      </c>
      <c r="F23" s="69" t="s">
        <v>89</v>
      </c>
      <c r="G23" s="70">
        <v>9.8569999999999994E-3</v>
      </c>
      <c r="H23" s="88">
        <v>0.20304568527918782</v>
      </c>
      <c r="I23" s="69" t="s">
        <v>107</v>
      </c>
      <c r="J23" s="89">
        <v>1100</v>
      </c>
      <c r="K23" s="90">
        <v>3000</v>
      </c>
      <c r="L23" s="91"/>
      <c r="M23" s="92">
        <v>43333</v>
      </c>
    </row>
    <row r="24" spans="1:13" s="52" customFormat="1" ht="30" customHeight="1" thickTop="1" thickBot="1" x14ac:dyDescent="0.3">
      <c r="A24" s="86" t="s">
        <v>187</v>
      </c>
      <c r="B24" s="67" t="s">
        <v>188</v>
      </c>
      <c r="C24" s="68">
        <v>45603</v>
      </c>
      <c r="D24" s="87" t="s">
        <v>168</v>
      </c>
      <c r="E24" s="69" t="s">
        <v>81</v>
      </c>
      <c r="F24" s="69" t="s">
        <v>89</v>
      </c>
      <c r="G24" s="70">
        <v>2.0029999999999999E-2</v>
      </c>
      <c r="H24" s="88">
        <v>0.20599999999999999</v>
      </c>
      <c r="I24" s="69" t="s">
        <v>108</v>
      </c>
      <c r="J24" s="89">
        <v>1900</v>
      </c>
      <c r="K24" s="90"/>
      <c r="L24" s="91"/>
      <c r="M24" s="92">
        <v>43040</v>
      </c>
    </row>
    <row r="25" spans="1:13" s="52" customFormat="1" ht="30" customHeight="1" thickTop="1" thickBot="1" x14ac:dyDescent="0.3">
      <c r="A25" s="86" t="s">
        <v>302</v>
      </c>
      <c r="B25" s="67" t="s">
        <v>303</v>
      </c>
      <c r="C25" s="68">
        <v>46034</v>
      </c>
      <c r="D25" s="87" t="s">
        <v>154</v>
      </c>
      <c r="E25" s="69" t="s">
        <v>81</v>
      </c>
      <c r="F25" s="69" t="s">
        <v>89</v>
      </c>
      <c r="G25" s="70">
        <v>6.9440000000000002E-2</v>
      </c>
      <c r="H25" s="88">
        <v>0.187</v>
      </c>
      <c r="I25" s="69" t="s">
        <v>96</v>
      </c>
      <c r="J25" s="89">
        <v>1900</v>
      </c>
      <c r="K25" s="90">
        <v>3000</v>
      </c>
      <c r="L25" s="91"/>
      <c r="M25" s="92">
        <v>43405</v>
      </c>
    </row>
    <row r="26" spans="1:13" s="52" customFormat="1" ht="30" customHeight="1" thickTop="1" thickBot="1" x14ac:dyDescent="0.3">
      <c r="A26" s="86" t="s">
        <v>316</v>
      </c>
      <c r="B26" s="67" t="s">
        <v>155</v>
      </c>
      <c r="C26" s="68">
        <v>45182</v>
      </c>
      <c r="D26" s="87" t="s">
        <v>156</v>
      </c>
      <c r="E26" s="69" t="s">
        <v>81</v>
      </c>
      <c r="F26" s="69" t="s">
        <v>89</v>
      </c>
      <c r="G26" s="70">
        <v>0.11008</v>
      </c>
      <c r="H26" s="88">
        <v>0.1</v>
      </c>
      <c r="I26" s="69" t="s">
        <v>155</v>
      </c>
      <c r="J26" s="89">
        <v>1900</v>
      </c>
      <c r="K26" s="90">
        <v>3000</v>
      </c>
      <c r="L26" s="91"/>
      <c r="M26" s="92">
        <v>43430</v>
      </c>
    </row>
    <row r="27" spans="1:13" s="52" customFormat="1" ht="30" customHeight="1" thickTop="1" thickBot="1" x14ac:dyDescent="0.3">
      <c r="A27" s="86" t="s">
        <v>270</v>
      </c>
      <c r="B27" s="67" t="s">
        <v>271</v>
      </c>
      <c r="C27" s="68">
        <v>44263</v>
      </c>
      <c r="D27" s="87" t="s">
        <v>154</v>
      </c>
      <c r="E27" s="69" t="s">
        <v>81</v>
      </c>
      <c r="F27" s="69" t="s">
        <v>89</v>
      </c>
      <c r="G27" s="70">
        <v>0.1608</v>
      </c>
      <c r="H27" s="88">
        <v>0.124</v>
      </c>
      <c r="I27" s="69">
        <v>2745</v>
      </c>
      <c r="J27" s="89">
        <v>1400</v>
      </c>
      <c r="K27" s="90">
        <v>3000</v>
      </c>
      <c r="L27" s="91"/>
      <c r="M27" s="92">
        <v>43409</v>
      </c>
    </row>
    <row r="28" spans="1:13" s="52" customFormat="1" ht="30" customHeight="1" thickTop="1" thickBot="1" x14ac:dyDescent="0.3">
      <c r="A28" s="86" t="s">
        <v>287</v>
      </c>
      <c r="B28" s="67" t="s">
        <v>288</v>
      </c>
      <c r="C28" s="68">
        <v>45926</v>
      </c>
      <c r="D28" s="87" t="s">
        <v>154</v>
      </c>
      <c r="E28" s="69" t="s">
        <v>81</v>
      </c>
      <c r="F28" s="69" t="s">
        <v>89</v>
      </c>
      <c r="G28" s="70" t="s">
        <v>136</v>
      </c>
      <c r="H28" s="88">
        <v>0.20100000000000001</v>
      </c>
      <c r="I28" s="69">
        <v>2617</v>
      </c>
      <c r="J28" s="89">
        <v>1900</v>
      </c>
      <c r="K28" s="90">
        <v>3000</v>
      </c>
      <c r="L28" s="91"/>
      <c r="M28" s="92">
        <v>43277</v>
      </c>
    </row>
    <row r="29" spans="1:13" s="52" customFormat="1" ht="30" customHeight="1" thickTop="1" thickBot="1" x14ac:dyDescent="0.3">
      <c r="A29" s="86" t="s">
        <v>317</v>
      </c>
      <c r="B29" s="67" t="s">
        <v>155</v>
      </c>
      <c r="C29" s="68">
        <v>44095</v>
      </c>
      <c r="D29" s="87" t="s">
        <v>156</v>
      </c>
      <c r="E29" s="69" t="s">
        <v>86</v>
      </c>
      <c r="F29" s="69" t="s">
        <v>89</v>
      </c>
      <c r="G29" s="70" t="s">
        <v>152</v>
      </c>
      <c r="H29" s="88">
        <v>1</v>
      </c>
      <c r="I29" s="69" t="s">
        <v>155</v>
      </c>
      <c r="J29" s="89">
        <v>1900</v>
      </c>
      <c r="K29" s="90">
        <v>3000</v>
      </c>
      <c r="L29" s="91"/>
      <c r="M29" s="92">
        <v>43430</v>
      </c>
    </row>
    <row r="30" spans="1:13" s="52" customFormat="1" ht="30" customHeight="1" thickTop="1" thickBot="1" x14ac:dyDescent="0.3">
      <c r="A30" s="86" t="s">
        <v>362</v>
      </c>
      <c r="B30" s="67" t="s">
        <v>363</v>
      </c>
      <c r="C30" s="68">
        <v>44825</v>
      </c>
      <c r="D30" s="87" t="s">
        <v>168</v>
      </c>
      <c r="E30" s="69" t="s">
        <v>83</v>
      </c>
      <c r="F30" s="69" t="s">
        <v>89</v>
      </c>
      <c r="G30" s="70">
        <v>793.6</v>
      </c>
      <c r="H30" s="88">
        <v>0.8</v>
      </c>
      <c r="I30" s="69">
        <v>2735</v>
      </c>
      <c r="J30" s="89">
        <v>1900</v>
      </c>
      <c r="K30" s="90"/>
      <c r="L30" s="91"/>
      <c r="M30" s="92">
        <v>43495</v>
      </c>
    </row>
    <row r="31" spans="1:13" s="52" customFormat="1" ht="30" customHeight="1" thickTop="1" thickBot="1" x14ac:dyDescent="0.3">
      <c r="A31" s="86" t="s">
        <v>295</v>
      </c>
      <c r="B31" s="67" t="s">
        <v>294</v>
      </c>
      <c r="C31" s="68">
        <v>44362</v>
      </c>
      <c r="D31" s="87" t="s">
        <v>168</v>
      </c>
      <c r="E31" s="69" t="s">
        <v>83</v>
      </c>
      <c r="F31" s="69" t="s">
        <v>89</v>
      </c>
      <c r="G31" s="70" t="s">
        <v>296</v>
      </c>
      <c r="H31" s="88">
        <v>0.6</v>
      </c>
      <c r="I31" s="69" t="s">
        <v>155</v>
      </c>
      <c r="J31" s="89">
        <v>2000</v>
      </c>
      <c r="K31" s="90"/>
      <c r="L31" s="91"/>
      <c r="M31" s="92">
        <v>43347</v>
      </c>
    </row>
    <row r="32" spans="1:13" s="52" customFormat="1" ht="30" customHeight="1" thickTop="1" thickBot="1" x14ac:dyDescent="0.3">
      <c r="A32" s="86" t="s">
        <v>292</v>
      </c>
      <c r="B32" s="67" t="s">
        <v>294</v>
      </c>
      <c r="C32" s="68">
        <v>44362</v>
      </c>
      <c r="D32" s="87" t="s">
        <v>168</v>
      </c>
      <c r="E32" s="69" t="s">
        <v>83</v>
      </c>
      <c r="F32" s="69" t="s">
        <v>89</v>
      </c>
      <c r="G32" s="70" t="s">
        <v>293</v>
      </c>
      <c r="H32" s="88">
        <v>0.6</v>
      </c>
      <c r="I32" s="69" t="s">
        <v>155</v>
      </c>
      <c r="J32" s="89">
        <v>1100</v>
      </c>
      <c r="K32" s="90"/>
      <c r="L32" s="91"/>
      <c r="M32" s="92">
        <v>43347</v>
      </c>
    </row>
    <row r="33" spans="1:13" s="52" customFormat="1" ht="30" customHeight="1" thickTop="1" thickBot="1" x14ac:dyDescent="0.3">
      <c r="A33" s="86" t="s">
        <v>299</v>
      </c>
      <c r="B33" s="67" t="s">
        <v>294</v>
      </c>
      <c r="C33" s="68">
        <v>44362</v>
      </c>
      <c r="D33" s="87" t="s">
        <v>168</v>
      </c>
      <c r="E33" s="69" t="s">
        <v>83</v>
      </c>
      <c r="F33" s="69" t="s">
        <v>89</v>
      </c>
      <c r="G33" s="70" t="s">
        <v>293</v>
      </c>
      <c r="H33" s="88">
        <v>0.6</v>
      </c>
      <c r="I33" s="69" t="s">
        <v>155</v>
      </c>
      <c r="J33" s="89">
        <v>2000</v>
      </c>
      <c r="K33" s="90"/>
      <c r="L33" s="91"/>
      <c r="M33" s="92">
        <v>43347</v>
      </c>
    </row>
    <row r="34" spans="1:13" s="52" customFormat="1" ht="30" customHeight="1" thickTop="1" thickBot="1" x14ac:dyDescent="0.3">
      <c r="A34" s="86" t="s">
        <v>297</v>
      </c>
      <c r="B34" s="67" t="s">
        <v>294</v>
      </c>
      <c r="C34" s="68">
        <v>44362</v>
      </c>
      <c r="D34" s="87" t="s">
        <v>168</v>
      </c>
      <c r="E34" s="69" t="s">
        <v>83</v>
      </c>
      <c r="F34" s="69" t="s">
        <v>89</v>
      </c>
      <c r="G34" s="70" t="s">
        <v>298</v>
      </c>
      <c r="H34" s="88">
        <v>0.6</v>
      </c>
      <c r="I34" s="69" t="s">
        <v>155</v>
      </c>
      <c r="J34" s="89">
        <v>2000</v>
      </c>
      <c r="K34" s="90"/>
      <c r="L34" s="91"/>
      <c r="M34" s="92">
        <v>43347</v>
      </c>
    </row>
    <row r="35" spans="1:13" s="52" customFormat="1" ht="30" customHeight="1" thickTop="1" thickBot="1" x14ac:dyDescent="0.3">
      <c r="A35" s="86" t="s">
        <v>300</v>
      </c>
      <c r="B35" s="67" t="s">
        <v>294</v>
      </c>
      <c r="C35" s="68">
        <v>44362</v>
      </c>
      <c r="D35" s="87" t="s">
        <v>168</v>
      </c>
      <c r="E35" s="69" t="s">
        <v>83</v>
      </c>
      <c r="F35" s="69" t="s">
        <v>89</v>
      </c>
      <c r="G35" s="70" t="s">
        <v>301</v>
      </c>
      <c r="H35" s="88">
        <v>0.6</v>
      </c>
      <c r="I35" s="69" t="s">
        <v>155</v>
      </c>
      <c r="J35" s="89">
        <v>2000</v>
      </c>
      <c r="K35" s="90"/>
      <c r="L35" s="91"/>
      <c r="M35" s="92">
        <v>43347</v>
      </c>
    </row>
    <row r="36" spans="1:13" s="52" customFormat="1" ht="30" customHeight="1" thickTop="1" thickBot="1" x14ac:dyDescent="0.3">
      <c r="A36" s="86" t="s">
        <v>42</v>
      </c>
      <c r="B36" s="67" t="s">
        <v>76</v>
      </c>
      <c r="C36" s="68">
        <v>46583</v>
      </c>
      <c r="D36" s="87" t="s">
        <v>154</v>
      </c>
      <c r="E36" s="69" t="s">
        <v>83</v>
      </c>
      <c r="F36" s="69" t="s">
        <v>89</v>
      </c>
      <c r="G36" s="70" t="s">
        <v>148</v>
      </c>
      <c r="H36" s="88">
        <v>0.96432015429122475</v>
      </c>
      <c r="I36" s="69">
        <v>2738</v>
      </c>
      <c r="J36" s="89">
        <v>1250</v>
      </c>
      <c r="K36" s="90">
        <v>3000</v>
      </c>
      <c r="L36" s="91"/>
      <c r="M36" s="92">
        <v>43040</v>
      </c>
    </row>
    <row r="37" spans="1:13" s="52" customFormat="1" ht="30" customHeight="1" thickTop="1" thickBot="1" x14ac:dyDescent="0.3">
      <c r="A37" s="86" t="s">
        <v>227</v>
      </c>
      <c r="B37" s="67" t="s">
        <v>228</v>
      </c>
      <c r="C37" s="68">
        <v>43714</v>
      </c>
      <c r="D37" s="87" t="s">
        <v>154</v>
      </c>
      <c r="E37" s="69" t="s">
        <v>83</v>
      </c>
      <c r="F37" s="69" t="s">
        <v>89</v>
      </c>
      <c r="G37" s="70" t="s">
        <v>232</v>
      </c>
      <c r="H37" s="88">
        <v>1.4219999999999999</v>
      </c>
      <c r="I37" s="69">
        <v>2738</v>
      </c>
      <c r="J37" s="89">
        <v>1900</v>
      </c>
      <c r="K37" s="90">
        <v>3000</v>
      </c>
      <c r="L37" s="91"/>
      <c r="M37" s="92">
        <v>43040</v>
      </c>
    </row>
    <row r="38" spans="1:13" s="52" customFormat="1" ht="30" customHeight="1" thickTop="1" thickBot="1" x14ac:dyDescent="0.3">
      <c r="A38" s="86" t="s">
        <v>250</v>
      </c>
      <c r="B38" s="67" t="s">
        <v>251</v>
      </c>
      <c r="C38" s="68">
        <v>45642</v>
      </c>
      <c r="D38" s="87" t="s">
        <v>154</v>
      </c>
      <c r="E38" s="69" t="s">
        <v>83</v>
      </c>
      <c r="F38" s="69" t="s">
        <v>89</v>
      </c>
      <c r="G38" s="70" t="s">
        <v>252</v>
      </c>
      <c r="H38" s="88">
        <v>0.47699999999999998</v>
      </c>
      <c r="I38" s="69">
        <v>2630</v>
      </c>
      <c r="J38" s="89">
        <v>1500</v>
      </c>
      <c r="K38" s="90">
        <v>3000</v>
      </c>
      <c r="L38" s="91"/>
      <c r="M38" s="92">
        <v>43073</v>
      </c>
    </row>
    <row r="39" spans="1:13" s="52" customFormat="1" ht="30" customHeight="1" thickTop="1" thickBot="1" x14ac:dyDescent="0.3">
      <c r="A39" s="86" t="s">
        <v>307</v>
      </c>
      <c r="B39" s="67"/>
      <c r="C39" s="68">
        <v>46215</v>
      </c>
      <c r="D39" s="87" t="s">
        <v>168</v>
      </c>
      <c r="E39" s="69" t="s">
        <v>83</v>
      </c>
      <c r="F39" s="69" t="s">
        <v>89</v>
      </c>
      <c r="G39" s="70" t="s">
        <v>308</v>
      </c>
      <c r="H39" s="88">
        <v>0.68</v>
      </c>
      <c r="I39" s="69">
        <v>2630</v>
      </c>
      <c r="J39" s="89">
        <v>1000</v>
      </c>
      <c r="K39" s="90"/>
      <c r="L39" s="91"/>
      <c r="M39" s="92">
        <v>43292</v>
      </c>
    </row>
    <row r="40" spans="1:13" s="52" customFormat="1" ht="30" customHeight="1" thickTop="1" thickBot="1" x14ac:dyDescent="0.3">
      <c r="A40" s="86" t="s">
        <v>254</v>
      </c>
      <c r="B40" s="67" t="s">
        <v>255</v>
      </c>
      <c r="C40" s="68">
        <v>45841</v>
      </c>
      <c r="D40" s="87" t="s">
        <v>168</v>
      </c>
      <c r="E40" s="69" t="s">
        <v>83</v>
      </c>
      <c r="F40" s="69" t="s">
        <v>89</v>
      </c>
      <c r="G40" s="70" t="s">
        <v>256</v>
      </c>
      <c r="H40" s="88">
        <v>0.436</v>
      </c>
      <c r="I40" s="69">
        <v>2735</v>
      </c>
      <c r="J40" s="89">
        <v>1900</v>
      </c>
      <c r="K40" s="90"/>
      <c r="L40" s="91"/>
      <c r="M40" s="92">
        <v>43040</v>
      </c>
    </row>
    <row r="41" spans="1:13" s="52" customFormat="1" ht="30" customHeight="1" thickTop="1" thickBot="1" x14ac:dyDescent="0.3">
      <c r="A41" s="86" t="s">
        <v>257</v>
      </c>
      <c r="B41" s="67" t="s">
        <v>255</v>
      </c>
      <c r="C41" s="68">
        <v>45841</v>
      </c>
      <c r="D41" s="87" t="s">
        <v>168</v>
      </c>
      <c r="E41" s="69" t="s">
        <v>83</v>
      </c>
      <c r="F41" s="69" t="s">
        <v>89</v>
      </c>
      <c r="G41" s="70" t="s">
        <v>258</v>
      </c>
      <c r="H41" s="88">
        <v>0.437</v>
      </c>
      <c r="I41" s="69">
        <v>2735</v>
      </c>
      <c r="J41" s="89">
        <v>1900</v>
      </c>
      <c r="K41" s="90"/>
      <c r="L41" s="91"/>
      <c r="M41" s="92">
        <v>43040</v>
      </c>
    </row>
    <row r="42" spans="1:13" s="52" customFormat="1" ht="30" customHeight="1" thickTop="1" thickBot="1" x14ac:dyDescent="0.3">
      <c r="A42" s="86" t="s">
        <v>236</v>
      </c>
      <c r="B42" s="67" t="s">
        <v>237</v>
      </c>
      <c r="C42" s="68">
        <v>44094</v>
      </c>
      <c r="D42" s="87" t="s">
        <v>168</v>
      </c>
      <c r="E42" s="69" t="s">
        <v>83</v>
      </c>
      <c r="F42" s="69" t="s">
        <v>89</v>
      </c>
      <c r="G42" s="70" t="s">
        <v>238</v>
      </c>
      <c r="H42" s="88">
        <v>0.434</v>
      </c>
      <c r="I42" s="69" t="s">
        <v>100</v>
      </c>
      <c r="J42" s="89">
        <v>1000</v>
      </c>
      <c r="K42" s="90"/>
      <c r="L42" s="91"/>
      <c r="M42" s="92">
        <v>43040</v>
      </c>
    </row>
    <row r="43" spans="1:13" s="52" customFormat="1" ht="30" customHeight="1" thickTop="1" thickBot="1" x14ac:dyDescent="0.3">
      <c r="A43" s="86" t="s">
        <v>267</v>
      </c>
      <c r="B43" s="67" t="s">
        <v>268</v>
      </c>
      <c r="C43" s="68">
        <v>46103</v>
      </c>
      <c r="D43" s="87" t="s">
        <v>168</v>
      </c>
      <c r="E43" s="69" t="s">
        <v>83</v>
      </c>
      <c r="F43" s="69" t="s">
        <v>89</v>
      </c>
      <c r="G43" s="70" t="s">
        <v>269</v>
      </c>
      <c r="H43" s="88">
        <v>0.40600000000000003</v>
      </c>
      <c r="I43" s="69" t="s">
        <v>155</v>
      </c>
      <c r="J43" s="89">
        <v>1900</v>
      </c>
      <c r="K43" s="90"/>
      <c r="L43" s="91"/>
      <c r="M43" s="92">
        <v>43180</v>
      </c>
    </row>
    <row r="44" spans="1:13" s="52" customFormat="1" ht="30" customHeight="1" thickTop="1" thickBot="1" x14ac:dyDescent="0.3">
      <c r="A44" s="86" t="s">
        <v>233</v>
      </c>
      <c r="B44" s="67" t="s">
        <v>234</v>
      </c>
      <c r="C44" s="68">
        <v>43729</v>
      </c>
      <c r="D44" s="87" t="s">
        <v>154</v>
      </c>
      <c r="E44" s="69" t="s">
        <v>83</v>
      </c>
      <c r="F44" s="69" t="s">
        <v>89</v>
      </c>
      <c r="G44" s="70" t="s">
        <v>235</v>
      </c>
      <c r="H44" s="88">
        <v>0.78900000000000003</v>
      </c>
      <c r="I44" s="69" t="s">
        <v>110</v>
      </c>
      <c r="J44" s="89">
        <v>1400</v>
      </c>
      <c r="K44" s="90">
        <v>3000</v>
      </c>
      <c r="L44" s="91"/>
      <c r="M44" s="92">
        <v>43073</v>
      </c>
    </row>
    <row r="45" spans="1:13" s="52" customFormat="1" ht="30" customHeight="1" thickTop="1" thickBot="1" x14ac:dyDescent="0.3">
      <c r="A45" s="86" t="s">
        <v>194</v>
      </c>
      <c r="B45" s="67" t="s">
        <v>195</v>
      </c>
      <c r="C45" s="68">
        <v>43645</v>
      </c>
      <c r="D45" s="87" t="s">
        <v>154</v>
      </c>
      <c r="E45" s="69" t="s">
        <v>83</v>
      </c>
      <c r="F45" s="69" t="s">
        <v>89</v>
      </c>
      <c r="G45" s="70" t="s">
        <v>196</v>
      </c>
      <c r="H45" s="88">
        <v>0.78100000000000003</v>
      </c>
      <c r="I45" s="69" t="s">
        <v>110</v>
      </c>
      <c r="J45" s="89">
        <v>1900</v>
      </c>
      <c r="K45" s="90">
        <v>3000</v>
      </c>
      <c r="L45" s="91"/>
      <c r="M45" s="92">
        <v>43040</v>
      </c>
    </row>
    <row r="46" spans="1:13" s="52" customFormat="1" ht="30" customHeight="1" thickTop="1" thickBot="1" x14ac:dyDescent="0.3">
      <c r="A46" s="86" t="s">
        <v>229</v>
      </c>
      <c r="B46" s="67" t="s">
        <v>230</v>
      </c>
      <c r="C46" s="68">
        <v>43714</v>
      </c>
      <c r="D46" s="87" t="s">
        <v>154</v>
      </c>
      <c r="E46" s="69" t="s">
        <v>83</v>
      </c>
      <c r="F46" s="69" t="s">
        <v>89</v>
      </c>
      <c r="G46" s="70" t="s">
        <v>231</v>
      </c>
      <c r="H46" s="88">
        <v>1.444</v>
      </c>
      <c r="I46" s="69">
        <v>2737</v>
      </c>
      <c r="J46" s="89">
        <v>1900</v>
      </c>
      <c r="K46" s="90">
        <v>3000</v>
      </c>
      <c r="L46" s="91"/>
      <c r="M46" s="92">
        <v>43040</v>
      </c>
    </row>
    <row r="47" spans="1:13" s="52" customFormat="1" ht="30" customHeight="1" thickTop="1" thickBot="1" x14ac:dyDescent="0.3">
      <c r="A47" s="86" t="s">
        <v>322</v>
      </c>
      <c r="B47" s="67" t="s">
        <v>323</v>
      </c>
      <c r="C47" s="68">
        <v>45914</v>
      </c>
      <c r="D47" s="87" t="s">
        <v>154</v>
      </c>
      <c r="E47" s="69" t="s">
        <v>83</v>
      </c>
      <c r="F47" s="69" t="s">
        <v>89</v>
      </c>
      <c r="G47" s="70" t="s">
        <v>324</v>
      </c>
      <c r="H47" s="88">
        <v>0.79800000000000004</v>
      </c>
      <c r="I47" s="69" t="s">
        <v>325</v>
      </c>
      <c r="J47" s="89">
        <v>1900</v>
      </c>
      <c r="K47" s="90">
        <v>3000</v>
      </c>
      <c r="L47" s="91"/>
      <c r="M47" s="92">
        <v>43467</v>
      </c>
    </row>
    <row r="48" spans="1:13" s="52" customFormat="1" ht="30" customHeight="1" thickTop="1" thickBot="1" x14ac:dyDescent="0.3">
      <c r="A48" s="86" t="s">
        <v>190</v>
      </c>
      <c r="B48" s="67" t="s">
        <v>155</v>
      </c>
      <c r="C48" s="68">
        <v>43876</v>
      </c>
      <c r="D48" s="87" t="s">
        <v>156</v>
      </c>
      <c r="E48" s="69" t="s">
        <v>83</v>
      </c>
      <c r="F48" s="69" t="s">
        <v>89</v>
      </c>
      <c r="G48" s="70" t="s">
        <v>191</v>
      </c>
      <c r="H48" s="88">
        <v>0.4</v>
      </c>
      <c r="I48" s="69" t="s">
        <v>155</v>
      </c>
      <c r="J48" s="89">
        <v>450</v>
      </c>
      <c r="K48" s="90">
        <v>3000</v>
      </c>
      <c r="L48" s="91"/>
      <c r="M48" s="92">
        <v>43224</v>
      </c>
    </row>
    <row r="49" spans="1:13" s="52" customFormat="1" ht="30" customHeight="1" thickTop="1" thickBot="1" x14ac:dyDescent="0.3">
      <c r="A49" s="86" t="s">
        <v>362</v>
      </c>
      <c r="B49" s="67" t="s">
        <v>363</v>
      </c>
      <c r="C49" s="68">
        <v>44825</v>
      </c>
      <c r="D49" s="87" t="s">
        <v>168</v>
      </c>
      <c r="E49" s="69" t="s">
        <v>364</v>
      </c>
      <c r="F49" s="69" t="s">
        <v>89</v>
      </c>
      <c r="G49" s="70">
        <v>800.1</v>
      </c>
      <c r="H49" s="88">
        <v>0.8</v>
      </c>
      <c r="I49" s="69">
        <v>2735</v>
      </c>
      <c r="J49" s="89">
        <v>1900</v>
      </c>
      <c r="K49" s="90"/>
      <c r="L49" s="91"/>
      <c r="M49" s="92">
        <v>43495</v>
      </c>
    </row>
    <row r="50" spans="1:13" s="52" customFormat="1" ht="30" customHeight="1" thickTop="1" thickBot="1" x14ac:dyDescent="0.3">
      <c r="A50" s="86" t="s">
        <v>223</v>
      </c>
      <c r="B50" s="67" t="s">
        <v>224</v>
      </c>
      <c r="C50" s="68">
        <v>45325</v>
      </c>
      <c r="D50" s="87" t="s">
        <v>154</v>
      </c>
      <c r="E50" s="69" t="s">
        <v>84</v>
      </c>
      <c r="F50" s="69" t="s">
        <v>89</v>
      </c>
      <c r="G50" s="70">
        <v>1.9734000000000002E-2</v>
      </c>
      <c r="H50" s="88">
        <v>0.26862645717181954</v>
      </c>
      <c r="I50" s="69" t="s">
        <v>116</v>
      </c>
      <c r="J50" s="89">
        <v>1900</v>
      </c>
      <c r="K50" s="90">
        <v>3000</v>
      </c>
      <c r="L50" s="91"/>
      <c r="M50" s="92">
        <v>43040</v>
      </c>
    </row>
    <row r="51" spans="1:13" s="52" customFormat="1" ht="30" customHeight="1" thickTop="1" thickBot="1" x14ac:dyDescent="0.3">
      <c r="A51" s="86" t="s">
        <v>239</v>
      </c>
      <c r="B51" s="67" t="s">
        <v>240</v>
      </c>
      <c r="C51" s="68">
        <v>45923</v>
      </c>
      <c r="D51" s="87" t="s">
        <v>168</v>
      </c>
      <c r="E51" s="69" t="s">
        <v>84</v>
      </c>
      <c r="F51" s="69" t="s">
        <v>89</v>
      </c>
      <c r="G51" s="70">
        <v>0.02</v>
      </c>
      <c r="H51" s="88">
        <v>0.36</v>
      </c>
      <c r="I51" s="69" t="s">
        <v>116</v>
      </c>
      <c r="J51" s="89">
        <v>1500</v>
      </c>
      <c r="K51" s="90"/>
      <c r="L51" s="91"/>
      <c r="M51" s="92">
        <v>43000</v>
      </c>
    </row>
    <row r="52" spans="1:13" s="52" customFormat="1" ht="30" customHeight="1" thickTop="1" thickBot="1" x14ac:dyDescent="0.3">
      <c r="A52" s="86" t="s">
        <v>36</v>
      </c>
      <c r="B52" s="67" t="s">
        <v>70</v>
      </c>
      <c r="C52" s="68">
        <v>45325</v>
      </c>
      <c r="D52" s="87" t="s">
        <v>154</v>
      </c>
      <c r="E52" s="69" t="s">
        <v>84</v>
      </c>
      <c r="F52" s="69" t="s">
        <v>89</v>
      </c>
      <c r="G52" s="70">
        <v>9.9180000000000004E-2</v>
      </c>
      <c r="H52" s="88">
        <v>0.2218</v>
      </c>
      <c r="I52" s="69" t="s">
        <v>117</v>
      </c>
      <c r="J52" s="89">
        <v>500</v>
      </c>
      <c r="K52" s="90">
        <v>3000</v>
      </c>
      <c r="L52" s="91"/>
      <c r="M52" s="92">
        <v>43040</v>
      </c>
    </row>
    <row r="53" spans="1:13" s="52" customFormat="1" ht="30" customHeight="1" thickTop="1" thickBot="1" x14ac:dyDescent="0.3">
      <c r="A53" s="86" t="s">
        <v>241</v>
      </c>
      <c r="B53" s="67" t="s">
        <v>242</v>
      </c>
      <c r="C53" s="68">
        <v>45923</v>
      </c>
      <c r="D53" s="87" t="s">
        <v>168</v>
      </c>
      <c r="E53" s="69" t="s">
        <v>84</v>
      </c>
      <c r="F53" s="69" t="s">
        <v>89</v>
      </c>
      <c r="G53" s="70">
        <v>0.10100000000000001</v>
      </c>
      <c r="H53" s="88">
        <v>0.11600000000000001</v>
      </c>
      <c r="I53" s="69" t="s">
        <v>117</v>
      </c>
      <c r="J53" s="89">
        <v>1500</v>
      </c>
      <c r="K53" s="90"/>
      <c r="L53" s="91"/>
      <c r="M53" s="92">
        <v>43040</v>
      </c>
    </row>
    <row r="54" spans="1:13" s="52" customFormat="1" ht="30" customHeight="1" thickTop="1" thickBot="1" x14ac:dyDescent="0.3">
      <c r="A54" s="86" t="s">
        <v>245</v>
      </c>
      <c r="B54" s="67" t="s">
        <v>246</v>
      </c>
      <c r="C54" s="68">
        <v>45814</v>
      </c>
      <c r="D54" s="87" t="s">
        <v>168</v>
      </c>
      <c r="E54" s="69" t="s">
        <v>84</v>
      </c>
      <c r="F54" s="69" t="s">
        <v>89</v>
      </c>
      <c r="G54" s="70">
        <v>0.2097</v>
      </c>
      <c r="H54" s="88">
        <v>9.5000000000000001E-2</v>
      </c>
      <c r="I54" s="69" t="s">
        <v>118</v>
      </c>
      <c r="J54" s="89">
        <v>500</v>
      </c>
      <c r="K54" s="90"/>
      <c r="L54" s="91"/>
      <c r="M54" s="92">
        <v>43040</v>
      </c>
    </row>
    <row r="55" spans="1:13" s="52" customFormat="1" ht="30" customHeight="1" thickTop="1" thickBot="1" x14ac:dyDescent="0.3">
      <c r="A55" s="86" t="s">
        <v>315</v>
      </c>
      <c r="B55" s="67" t="s">
        <v>155</v>
      </c>
      <c r="C55" s="68">
        <v>45183</v>
      </c>
      <c r="D55" s="87" t="s">
        <v>156</v>
      </c>
      <c r="E55" s="69" t="s">
        <v>84</v>
      </c>
      <c r="F55" s="69" t="s">
        <v>89</v>
      </c>
      <c r="G55" s="70">
        <v>0.21002000000000001</v>
      </c>
      <c r="H55" s="88">
        <v>0.1</v>
      </c>
      <c r="I55" s="69" t="s">
        <v>155</v>
      </c>
      <c r="J55" s="89">
        <v>1900</v>
      </c>
      <c r="K55" s="90">
        <v>3000</v>
      </c>
      <c r="L55" s="91"/>
      <c r="M55" s="92">
        <v>43430</v>
      </c>
    </row>
    <row r="56" spans="1:13" s="52" customFormat="1" ht="30" customHeight="1" thickTop="1" thickBot="1" x14ac:dyDescent="0.3">
      <c r="A56" s="86" t="s">
        <v>243</v>
      </c>
      <c r="B56" s="67" t="s">
        <v>244</v>
      </c>
      <c r="C56" s="68">
        <v>45923</v>
      </c>
      <c r="D56" s="87" t="s">
        <v>168</v>
      </c>
      <c r="E56" s="69" t="s">
        <v>84</v>
      </c>
      <c r="F56" s="69" t="s">
        <v>89</v>
      </c>
      <c r="G56" s="70">
        <v>0.21079999999999999</v>
      </c>
      <c r="H56" s="88">
        <v>0.27100000000000002</v>
      </c>
      <c r="I56" s="69" t="s">
        <v>118</v>
      </c>
      <c r="J56" s="89">
        <v>1500</v>
      </c>
      <c r="K56" s="90"/>
      <c r="L56" s="91"/>
      <c r="M56" s="92">
        <v>43040</v>
      </c>
    </row>
    <row r="57" spans="1:13" s="52" customFormat="1" ht="30" customHeight="1" thickTop="1" thickBot="1" x14ac:dyDescent="0.3">
      <c r="A57" s="86" t="s">
        <v>360</v>
      </c>
      <c r="B57" s="67" t="s">
        <v>354</v>
      </c>
      <c r="C57" s="68">
        <v>46410</v>
      </c>
      <c r="D57" s="87" t="s">
        <v>168</v>
      </c>
      <c r="E57" s="69" t="s">
        <v>79</v>
      </c>
      <c r="F57" s="69" t="s">
        <v>89</v>
      </c>
      <c r="G57" s="70" t="s">
        <v>361</v>
      </c>
      <c r="H57" s="88">
        <v>0.81</v>
      </c>
      <c r="I57" s="69" t="s">
        <v>104</v>
      </c>
      <c r="J57" s="89">
        <v>1500</v>
      </c>
      <c r="K57" s="90"/>
      <c r="L57" s="91"/>
      <c r="M57" s="92">
        <v>43488</v>
      </c>
    </row>
    <row r="58" spans="1:13" s="52" customFormat="1" ht="30" customHeight="1" thickTop="1" thickBot="1" x14ac:dyDescent="0.3">
      <c r="A58" s="86" t="s">
        <v>353</v>
      </c>
      <c r="B58" s="67" t="s">
        <v>354</v>
      </c>
      <c r="C58" s="68">
        <v>46410</v>
      </c>
      <c r="D58" s="87" t="s">
        <v>168</v>
      </c>
      <c r="E58" s="69" t="s">
        <v>79</v>
      </c>
      <c r="F58" s="69" t="s">
        <v>89</v>
      </c>
      <c r="G58" s="70" t="s">
        <v>355</v>
      </c>
      <c r="H58" s="88">
        <v>0.81299999999999994</v>
      </c>
      <c r="I58" s="69" t="s">
        <v>104</v>
      </c>
      <c r="J58" s="89">
        <v>1600</v>
      </c>
      <c r="K58" s="90"/>
      <c r="L58" s="91"/>
      <c r="M58" s="92">
        <v>43488</v>
      </c>
    </row>
    <row r="59" spans="1:13" s="52" customFormat="1" ht="30" customHeight="1" thickTop="1" thickBot="1" x14ac:dyDescent="0.3">
      <c r="A59" s="86" t="s">
        <v>358</v>
      </c>
      <c r="B59" s="67" t="s">
        <v>354</v>
      </c>
      <c r="C59" s="68">
        <v>46410</v>
      </c>
      <c r="D59" s="87" t="s">
        <v>168</v>
      </c>
      <c r="E59" s="69" t="s">
        <v>79</v>
      </c>
      <c r="F59" s="69" t="s">
        <v>89</v>
      </c>
      <c r="G59" s="70" t="s">
        <v>359</v>
      </c>
      <c r="H59" s="88">
        <v>0.81299999999999994</v>
      </c>
      <c r="I59" s="69" t="s">
        <v>104</v>
      </c>
      <c r="J59" s="89">
        <v>2100</v>
      </c>
      <c r="K59" s="90"/>
      <c r="L59" s="91"/>
      <c r="M59" s="92">
        <v>43488</v>
      </c>
    </row>
    <row r="60" spans="1:13" s="52" customFormat="1" ht="30" customHeight="1" thickTop="1" thickBot="1" x14ac:dyDescent="0.3">
      <c r="A60" s="86" t="s">
        <v>356</v>
      </c>
      <c r="B60" s="67" t="s">
        <v>354</v>
      </c>
      <c r="C60" s="68">
        <v>46410</v>
      </c>
      <c r="D60" s="87" t="s">
        <v>168</v>
      </c>
      <c r="E60" s="69" t="s">
        <v>79</v>
      </c>
      <c r="F60" s="69" t="s">
        <v>89</v>
      </c>
      <c r="G60" s="70" t="s">
        <v>357</v>
      </c>
      <c r="H60" s="88">
        <v>0.81499999999999995</v>
      </c>
      <c r="I60" s="69" t="s">
        <v>104</v>
      </c>
      <c r="J60" s="89">
        <v>1850</v>
      </c>
      <c r="K60" s="90"/>
      <c r="L60" s="91"/>
      <c r="M60" s="92">
        <v>43488</v>
      </c>
    </row>
    <row r="61" spans="1:13" s="52" customFormat="1" ht="30" customHeight="1" thickTop="1" thickBot="1" x14ac:dyDescent="0.3">
      <c r="A61" s="86" t="s">
        <v>280</v>
      </c>
      <c r="B61" s="67" t="s">
        <v>281</v>
      </c>
      <c r="C61" s="68">
        <v>44925</v>
      </c>
      <c r="D61" s="87" t="s">
        <v>154</v>
      </c>
      <c r="E61" s="69" t="s">
        <v>79</v>
      </c>
      <c r="F61" s="69" t="s">
        <v>89</v>
      </c>
      <c r="G61" s="70" t="s">
        <v>282</v>
      </c>
      <c r="H61" s="88">
        <v>0.35899999999999999</v>
      </c>
      <c r="I61" s="69" t="s">
        <v>92</v>
      </c>
      <c r="J61" s="89">
        <v>1900</v>
      </c>
      <c r="K61" s="90">
        <v>3000</v>
      </c>
      <c r="L61" s="91"/>
      <c r="M61" s="92">
        <v>43409</v>
      </c>
    </row>
    <row r="62" spans="1:13" s="52" customFormat="1" ht="30" customHeight="1" thickTop="1" thickBot="1" x14ac:dyDescent="0.3">
      <c r="A62" s="86" t="s">
        <v>176</v>
      </c>
      <c r="B62" s="67" t="s">
        <v>177</v>
      </c>
      <c r="C62" s="68">
        <v>45569</v>
      </c>
      <c r="D62" s="87" t="s">
        <v>168</v>
      </c>
      <c r="E62" s="69" t="s">
        <v>79</v>
      </c>
      <c r="F62" s="69" t="s">
        <v>89</v>
      </c>
      <c r="G62" s="70" t="s">
        <v>178</v>
      </c>
      <c r="H62" s="88">
        <v>0.188</v>
      </c>
      <c r="I62" s="69" t="s">
        <v>93</v>
      </c>
      <c r="J62" s="89">
        <v>1300</v>
      </c>
      <c r="K62" s="90"/>
      <c r="L62" s="91"/>
      <c r="M62" s="92">
        <v>43040</v>
      </c>
    </row>
    <row r="63" spans="1:13" s="52" customFormat="1" ht="30" customHeight="1" thickTop="1" thickBot="1" x14ac:dyDescent="0.3">
      <c r="A63" s="86" t="s">
        <v>179</v>
      </c>
      <c r="B63" s="67" t="s">
        <v>180</v>
      </c>
      <c r="C63" s="68">
        <v>45568</v>
      </c>
      <c r="D63" s="87" t="s">
        <v>168</v>
      </c>
      <c r="E63" s="69" t="s">
        <v>79</v>
      </c>
      <c r="F63" s="69" t="s">
        <v>89</v>
      </c>
      <c r="G63" s="70" t="s">
        <v>181</v>
      </c>
      <c r="H63" s="88">
        <v>0.41299999999999998</v>
      </c>
      <c r="I63" s="69" t="s">
        <v>105</v>
      </c>
      <c r="J63" s="89">
        <v>1900</v>
      </c>
      <c r="K63" s="90"/>
      <c r="L63" s="91"/>
      <c r="M63" s="92">
        <v>43040</v>
      </c>
    </row>
    <row r="64" spans="1:13" s="52" customFormat="1" ht="30" customHeight="1" thickTop="1" thickBot="1" x14ac:dyDescent="0.3">
      <c r="A64" s="86" t="s">
        <v>348</v>
      </c>
      <c r="B64" s="67" t="s">
        <v>349</v>
      </c>
      <c r="C64" s="68">
        <v>46374</v>
      </c>
      <c r="D64" s="87" t="s">
        <v>168</v>
      </c>
      <c r="E64" s="69" t="s">
        <v>79</v>
      </c>
      <c r="F64" s="69" t="s">
        <v>89</v>
      </c>
      <c r="G64" s="70" t="s">
        <v>151</v>
      </c>
      <c r="H64" s="88">
        <v>0.40200000000000002</v>
      </c>
      <c r="I64" s="69" t="s">
        <v>104</v>
      </c>
      <c r="J64" s="89">
        <v>1100</v>
      </c>
      <c r="K64" s="90"/>
      <c r="L64" s="91"/>
      <c r="M64" s="92">
        <v>43452</v>
      </c>
    </row>
    <row r="65" spans="1:13" s="52" customFormat="1" ht="30" customHeight="1" thickTop="1" thickBot="1" x14ac:dyDescent="0.3">
      <c r="A65" s="86" t="s">
        <v>215</v>
      </c>
      <c r="B65" s="67" t="s">
        <v>216</v>
      </c>
      <c r="C65" s="68">
        <v>43913</v>
      </c>
      <c r="D65" s="87" t="s">
        <v>154</v>
      </c>
      <c r="E65" s="69" t="s">
        <v>79</v>
      </c>
      <c r="F65" s="69" t="s">
        <v>89</v>
      </c>
      <c r="G65" s="70" t="s">
        <v>253</v>
      </c>
      <c r="H65" s="88">
        <v>0.55800000000000005</v>
      </c>
      <c r="I65" s="69" t="s">
        <v>103</v>
      </c>
      <c r="J65" s="89">
        <v>1550</v>
      </c>
      <c r="K65" s="90">
        <v>3000</v>
      </c>
      <c r="L65" s="91"/>
      <c r="M65" s="92">
        <v>43419</v>
      </c>
    </row>
    <row r="66" spans="1:13" s="52" customFormat="1" ht="30" customHeight="1" thickTop="1" thickBot="1" x14ac:dyDescent="0.3">
      <c r="A66" s="86" t="s">
        <v>350</v>
      </c>
      <c r="B66" s="67" t="s">
        <v>351</v>
      </c>
      <c r="C66" s="68">
        <v>46410</v>
      </c>
      <c r="D66" s="87" t="s">
        <v>168</v>
      </c>
      <c r="E66" s="69" t="s">
        <v>79</v>
      </c>
      <c r="F66" s="69" t="s">
        <v>89</v>
      </c>
      <c r="G66" s="70" t="s">
        <v>352</v>
      </c>
      <c r="H66" s="88">
        <v>0.79</v>
      </c>
      <c r="I66" s="69" t="s">
        <v>104</v>
      </c>
      <c r="J66" s="89">
        <v>1250</v>
      </c>
      <c r="K66" s="90"/>
      <c r="L66" s="91"/>
      <c r="M66" s="92">
        <v>43488</v>
      </c>
    </row>
    <row r="67" spans="1:13" s="52" customFormat="1" ht="30" customHeight="1" thickTop="1" thickBot="1" x14ac:dyDescent="0.3">
      <c r="A67" s="93" t="s">
        <v>34</v>
      </c>
      <c r="B67" s="71" t="s">
        <v>68</v>
      </c>
      <c r="C67" s="72">
        <v>44749</v>
      </c>
      <c r="D67" s="94" t="s">
        <v>154</v>
      </c>
      <c r="E67" s="73" t="s">
        <v>80</v>
      </c>
      <c r="F67" s="73" t="s">
        <v>89</v>
      </c>
      <c r="G67" s="74" t="s">
        <v>142</v>
      </c>
      <c r="H67" s="95">
        <v>0.40567951318458417</v>
      </c>
      <c r="I67" s="73" t="s">
        <v>114</v>
      </c>
      <c r="J67" s="96">
        <v>400</v>
      </c>
      <c r="K67" s="97">
        <v>3000</v>
      </c>
      <c r="L67" s="98"/>
      <c r="M67" s="99">
        <v>43369</v>
      </c>
    </row>
    <row r="68" spans="1:13" s="52" customFormat="1" ht="30" customHeight="1" thickTop="1" thickBot="1" x14ac:dyDescent="0.3">
      <c r="A68" s="93" t="s">
        <v>219</v>
      </c>
      <c r="B68" s="71" t="s">
        <v>220</v>
      </c>
      <c r="C68" s="72">
        <v>45516</v>
      </c>
      <c r="D68" s="94" t="s">
        <v>154</v>
      </c>
      <c r="E68" s="73" t="s">
        <v>80</v>
      </c>
      <c r="F68" s="73" t="s">
        <v>88</v>
      </c>
      <c r="G68" s="74" t="s">
        <v>221</v>
      </c>
      <c r="H68" s="95">
        <v>0.40300000000000002</v>
      </c>
      <c r="I68" s="73" t="s">
        <v>222</v>
      </c>
      <c r="J68" s="96">
        <v>400</v>
      </c>
      <c r="K68" s="97">
        <v>3000</v>
      </c>
      <c r="L68" s="98"/>
      <c r="M68" s="99">
        <v>43411</v>
      </c>
    </row>
    <row r="69" spans="1:13" s="52" customFormat="1" ht="30" customHeight="1" thickTop="1" thickBot="1" x14ac:dyDescent="0.3">
      <c r="A69" s="93" t="s">
        <v>17</v>
      </c>
      <c r="B69" s="71" t="s">
        <v>51</v>
      </c>
      <c r="C69" s="72">
        <v>44829</v>
      </c>
      <c r="D69" s="94" t="s">
        <v>154</v>
      </c>
      <c r="E69" s="73" t="s">
        <v>82</v>
      </c>
      <c r="F69" s="73" t="s">
        <v>89</v>
      </c>
      <c r="G69" s="74" t="s">
        <v>127</v>
      </c>
      <c r="H69" s="95">
        <v>0.21152296535052376</v>
      </c>
      <c r="I69" s="73" t="s">
        <v>98</v>
      </c>
      <c r="J69" s="96">
        <v>200</v>
      </c>
      <c r="K69" s="97">
        <v>3000</v>
      </c>
      <c r="L69" s="98"/>
      <c r="M69" s="99">
        <v>43040</v>
      </c>
    </row>
    <row r="70" spans="1:13" s="52" customFormat="1" ht="30" customHeight="1" thickTop="1" thickBot="1" x14ac:dyDescent="0.3">
      <c r="A70" s="93" t="s">
        <v>27</v>
      </c>
      <c r="B70" s="71" t="s">
        <v>61</v>
      </c>
      <c r="C70" s="72">
        <v>43582</v>
      </c>
      <c r="D70" s="94" t="s">
        <v>154</v>
      </c>
      <c r="E70" s="73" t="s">
        <v>81</v>
      </c>
      <c r="F70" s="73" t="s">
        <v>89</v>
      </c>
      <c r="G70" s="74">
        <v>1.9571000000000002E-2</v>
      </c>
      <c r="H70" s="95">
        <v>0.16351558507920289</v>
      </c>
      <c r="I70" s="73" t="s">
        <v>108</v>
      </c>
      <c r="J70" s="96">
        <v>1350</v>
      </c>
      <c r="K70" s="97">
        <v>3000</v>
      </c>
      <c r="L70" s="98"/>
      <c r="M70" s="99">
        <v>43347</v>
      </c>
    </row>
    <row r="71" spans="1:13" s="52" customFormat="1" ht="30" customHeight="1" thickTop="1" thickBot="1" x14ac:dyDescent="0.3">
      <c r="A71" s="93" t="s">
        <v>163</v>
      </c>
      <c r="B71" s="71" t="s">
        <v>164</v>
      </c>
      <c r="C71" s="72">
        <v>44612</v>
      </c>
      <c r="D71" s="94" t="s">
        <v>154</v>
      </c>
      <c r="E71" s="73" t="s">
        <v>83</v>
      </c>
      <c r="F71" s="73" t="s">
        <v>89</v>
      </c>
      <c r="G71" s="74" t="s">
        <v>189</v>
      </c>
      <c r="H71" s="95">
        <v>0.217</v>
      </c>
      <c r="I71" s="73" t="s">
        <v>165</v>
      </c>
      <c r="J71" s="96">
        <v>200</v>
      </c>
      <c r="K71" s="97">
        <v>3000</v>
      </c>
      <c r="L71" s="98"/>
      <c r="M71" s="99">
        <v>43040</v>
      </c>
    </row>
    <row r="72" spans="1:13" s="52" customFormat="1" ht="30" customHeight="1" thickTop="1" thickBot="1" x14ac:dyDescent="0.3">
      <c r="A72" s="93" t="s">
        <v>209</v>
      </c>
      <c r="B72" s="71" t="s">
        <v>211</v>
      </c>
      <c r="C72" s="72">
        <v>45851</v>
      </c>
      <c r="D72" s="94" t="s">
        <v>168</v>
      </c>
      <c r="E72" s="73" t="s">
        <v>83</v>
      </c>
      <c r="F72" s="73" t="s">
        <v>89</v>
      </c>
      <c r="G72" s="74" t="s">
        <v>210</v>
      </c>
      <c r="H72" s="95">
        <v>0.41199999999999998</v>
      </c>
      <c r="I72" s="73">
        <v>2730</v>
      </c>
      <c r="J72" s="96">
        <v>150</v>
      </c>
      <c r="K72" s="97"/>
      <c r="L72" s="98"/>
      <c r="M72" s="99">
        <v>43040</v>
      </c>
    </row>
    <row r="73" spans="1:13" s="52" customFormat="1" ht="30" customHeight="1" thickTop="1" thickBot="1" x14ac:dyDescent="0.3">
      <c r="A73" s="93" t="s">
        <v>37</v>
      </c>
      <c r="B73" s="71" t="s">
        <v>71</v>
      </c>
      <c r="C73" s="72">
        <v>44431</v>
      </c>
      <c r="D73" s="94" t="s">
        <v>154</v>
      </c>
      <c r="E73" s="73" t="s">
        <v>84</v>
      </c>
      <c r="F73" s="73" t="s">
        <v>89</v>
      </c>
      <c r="G73" s="74">
        <v>0.20863000000000001</v>
      </c>
      <c r="H73" s="95">
        <v>0.10096153846153846</v>
      </c>
      <c r="I73" s="73" t="s">
        <v>118</v>
      </c>
      <c r="J73" s="96">
        <v>200</v>
      </c>
      <c r="K73" s="97">
        <v>3000</v>
      </c>
      <c r="L73" s="98"/>
      <c r="M73" s="99">
        <v>43040</v>
      </c>
    </row>
    <row r="74" spans="1:13" s="52" customFormat="1" ht="30" customHeight="1" thickTop="1" thickBot="1" x14ac:dyDescent="0.3">
      <c r="A74" s="93" t="s">
        <v>345</v>
      </c>
      <c r="B74" s="71" t="s">
        <v>347</v>
      </c>
      <c r="C74" s="72">
        <v>46328</v>
      </c>
      <c r="D74" s="94" t="s">
        <v>168</v>
      </c>
      <c r="E74" s="73" t="s">
        <v>79</v>
      </c>
      <c r="F74" s="73" t="s">
        <v>89</v>
      </c>
      <c r="G74" s="74" t="s">
        <v>346</v>
      </c>
      <c r="H74" s="95">
        <v>0.83799999999999997</v>
      </c>
      <c r="I74" s="73" t="s">
        <v>104</v>
      </c>
      <c r="J74" s="96">
        <v>300</v>
      </c>
      <c r="K74" s="97"/>
      <c r="L74" s="98"/>
      <c r="M74" s="99">
        <v>43406</v>
      </c>
    </row>
    <row r="75" spans="1:13" s="52" customFormat="1" ht="30" customHeight="1" thickTop="1" thickBot="1" x14ac:dyDescent="0.3">
      <c r="A75" s="100" t="s">
        <v>35</v>
      </c>
      <c r="B75" s="75" t="s">
        <v>69</v>
      </c>
      <c r="C75" s="76">
        <v>42861</v>
      </c>
      <c r="D75" s="101" t="s">
        <v>154</v>
      </c>
      <c r="E75" s="77" t="s">
        <v>80</v>
      </c>
      <c r="F75" s="77" t="s">
        <v>89</v>
      </c>
      <c r="G75" s="78" t="s">
        <v>143</v>
      </c>
      <c r="H75" s="102">
        <v>0.52695581678151604</v>
      </c>
      <c r="I75" s="77" t="s">
        <v>115</v>
      </c>
      <c r="J75" s="103">
        <v>400</v>
      </c>
      <c r="K75" s="104">
        <v>3000</v>
      </c>
      <c r="L75" s="105"/>
      <c r="M75" s="106">
        <v>43040</v>
      </c>
    </row>
    <row r="76" spans="1:13" s="52" customFormat="1" ht="30" customHeight="1" thickTop="1" thickBot="1" x14ac:dyDescent="0.3">
      <c r="A76" s="100" t="s">
        <v>14</v>
      </c>
      <c r="B76" s="75" t="s">
        <v>48</v>
      </c>
      <c r="C76" s="76">
        <v>42964</v>
      </c>
      <c r="D76" s="101" t="s">
        <v>154</v>
      </c>
      <c r="E76" s="77" t="s">
        <v>80</v>
      </c>
      <c r="F76" s="77" t="s">
        <v>88</v>
      </c>
      <c r="G76" s="78" t="s">
        <v>125</v>
      </c>
      <c r="H76" s="102">
        <v>0.22527134958017611</v>
      </c>
      <c r="I76" s="77" t="s">
        <v>95</v>
      </c>
      <c r="J76" s="103">
        <v>400</v>
      </c>
      <c r="K76" s="104">
        <v>3000</v>
      </c>
      <c r="L76" s="105"/>
      <c r="M76" s="106">
        <v>42996</v>
      </c>
    </row>
    <row r="77" spans="1:13" s="52" customFormat="1" ht="30" customHeight="1" thickTop="1" thickBot="1" x14ac:dyDescent="0.3">
      <c r="A77" s="100" t="s">
        <v>25</v>
      </c>
      <c r="B77" s="75" t="s">
        <v>59</v>
      </c>
      <c r="C77" s="76">
        <v>42948</v>
      </c>
      <c r="D77" s="101" t="s">
        <v>154</v>
      </c>
      <c r="E77" s="77" t="s">
        <v>82</v>
      </c>
      <c r="F77" s="77" t="s">
        <v>88</v>
      </c>
      <c r="G77" s="78" t="s">
        <v>135</v>
      </c>
      <c r="H77" s="102">
        <v>1.3041210224308815</v>
      </c>
      <c r="I77" s="77" t="s">
        <v>106</v>
      </c>
      <c r="J77" s="103">
        <v>525</v>
      </c>
      <c r="K77" s="104">
        <v>3000</v>
      </c>
      <c r="L77" s="105"/>
      <c r="M77" s="106">
        <v>43040</v>
      </c>
    </row>
    <row r="78" spans="1:13" s="52" customFormat="1" ht="30" customHeight="1" thickTop="1" thickBot="1" x14ac:dyDescent="0.3">
      <c r="A78" s="100" t="s">
        <v>32</v>
      </c>
      <c r="B78" s="75" t="s">
        <v>66</v>
      </c>
      <c r="C78" s="76">
        <v>43185</v>
      </c>
      <c r="D78" s="101" t="s">
        <v>154</v>
      </c>
      <c r="E78" s="77" t="s">
        <v>82</v>
      </c>
      <c r="F78" s="77" t="s">
        <v>89</v>
      </c>
      <c r="G78" s="78" t="s">
        <v>140</v>
      </c>
      <c r="H78" s="102">
        <v>0.20234722784297854</v>
      </c>
      <c r="I78" s="77" t="s">
        <v>112</v>
      </c>
      <c r="J78" s="103">
        <v>1550</v>
      </c>
      <c r="K78" s="104">
        <v>3000</v>
      </c>
      <c r="L78" s="105"/>
      <c r="M78" s="106">
        <v>43040</v>
      </c>
    </row>
    <row r="79" spans="1:13" s="52" customFormat="1" ht="30" customHeight="1" thickTop="1" thickBot="1" x14ac:dyDescent="0.3">
      <c r="A79" s="100" t="s">
        <v>33</v>
      </c>
      <c r="B79" s="75" t="s">
        <v>67</v>
      </c>
      <c r="C79" s="76">
        <v>43197</v>
      </c>
      <c r="D79" s="101" t="s">
        <v>154</v>
      </c>
      <c r="E79" s="77" t="s">
        <v>82</v>
      </c>
      <c r="F79" s="77" t="s">
        <v>89</v>
      </c>
      <c r="G79" s="78" t="s">
        <v>141</v>
      </c>
      <c r="H79" s="102">
        <v>0.22289766970618033</v>
      </c>
      <c r="I79" s="77" t="s">
        <v>113</v>
      </c>
      <c r="J79" s="103">
        <v>0</v>
      </c>
      <c r="K79" s="104">
        <v>3000</v>
      </c>
      <c r="L79" s="105"/>
      <c r="M79" s="106">
        <v>43040</v>
      </c>
    </row>
    <row r="80" spans="1:13" s="52" customFormat="1" ht="30" customHeight="1" thickTop="1" thickBot="1" x14ac:dyDescent="0.3">
      <c r="A80" s="100" t="s">
        <v>28</v>
      </c>
      <c r="B80" s="75" t="s">
        <v>62</v>
      </c>
      <c r="C80" s="76">
        <v>43253</v>
      </c>
      <c r="D80" s="101" t="s">
        <v>154</v>
      </c>
      <c r="E80" s="77" t="s">
        <v>81</v>
      </c>
      <c r="F80" s="77" t="s">
        <v>89</v>
      </c>
      <c r="G80" s="78">
        <v>2.938E-2</v>
      </c>
      <c r="H80" s="102">
        <v>0.20419999999999999</v>
      </c>
      <c r="I80" s="77" t="s">
        <v>109</v>
      </c>
      <c r="J80" s="103">
        <v>700</v>
      </c>
      <c r="K80" s="104">
        <v>3000</v>
      </c>
      <c r="L80" s="105"/>
      <c r="M80" s="106">
        <v>43133</v>
      </c>
    </row>
    <row r="81" spans="1:13" s="52" customFormat="1" ht="30" customHeight="1" thickTop="1" thickBot="1" x14ac:dyDescent="0.3">
      <c r="A81" s="100" t="s">
        <v>157</v>
      </c>
      <c r="B81" s="75" t="s">
        <v>155</v>
      </c>
      <c r="C81" s="76">
        <v>44508</v>
      </c>
      <c r="D81" s="101" t="s">
        <v>156</v>
      </c>
      <c r="E81" s="77" t="s">
        <v>81</v>
      </c>
      <c r="F81" s="77" t="s">
        <v>89</v>
      </c>
      <c r="G81" s="78">
        <v>0.11005</v>
      </c>
      <c r="H81" s="102">
        <v>9.9949999999999997E-2</v>
      </c>
      <c r="I81" s="77" t="s">
        <v>155</v>
      </c>
      <c r="J81" s="103">
        <v>0</v>
      </c>
      <c r="K81" s="104">
        <v>3000</v>
      </c>
      <c r="L81" s="105"/>
      <c r="M81" s="106">
        <v>43073</v>
      </c>
    </row>
    <row r="82" spans="1:13" s="52" customFormat="1" ht="30" customHeight="1" thickTop="1" thickBot="1" x14ac:dyDescent="0.3">
      <c r="A82" s="100" t="s">
        <v>185</v>
      </c>
      <c r="B82" s="75" t="s">
        <v>186</v>
      </c>
      <c r="C82" s="76">
        <v>45591</v>
      </c>
      <c r="D82" s="101" t="s">
        <v>168</v>
      </c>
      <c r="E82" s="77" t="s">
        <v>81</v>
      </c>
      <c r="F82" s="77" t="s">
        <v>89</v>
      </c>
      <c r="G82" s="78">
        <v>0.16120000000000001</v>
      </c>
      <c r="H82" s="102">
        <v>0.32800000000000001</v>
      </c>
      <c r="I82" s="77">
        <v>2745</v>
      </c>
      <c r="J82" s="103">
        <v>0</v>
      </c>
      <c r="K82" s="104"/>
      <c r="L82" s="105"/>
      <c r="M82" s="106">
        <v>43040</v>
      </c>
    </row>
    <row r="83" spans="1:13" s="52" customFormat="1" ht="30" customHeight="1" thickTop="1" thickBot="1" x14ac:dyDescent="0.3">
      <c r="A83" s="100" t="s">
        <v>26</v>
      </c>
      <c r="B83" s="75" t="s">
        <v>60</v>
      </c>
      <c r="C83" s="76">
        <v>43237</v>
      </c>
      <c r="D83" s="101" t="s">
        <v>154</v>
      </c>
      <c r="E83" s="77" t="s">
        <v>81</v>
      </c>
      <c r="F83" s="77" t="s">
        <v>89</v>
      </c>
      <c r="G83" s="78" t="s">
        <v>136</v>
      </c>
      <c r="H83" s="102">
        <v>0.20149103364900264</v>
      </c>
      <c r="I83" s="77">
        <v>2617</v>
      </c>
      <c r="J83" s="103">
        <v>650</v>
      </c>
      <c r="K83" s="104">
        <v>3000</v>
      </c>
      <c r="L83" s="105"/>
      <c r="M83" s="106">
        <v>43040</v>
      </c>
    </row>
    <row r="84" spans="1:13" s="52" customFormat="1" ht="30" customHeight="1" thickTop="1" thickBot="1" x14ac:dyDescent="0.3">
      <c r="A84" s="100">
        <v>5604618</v>
      </c>
      <c r="B84" s="75" t="s">
        <v>155</v>
      </c>
      <c r="C84" s="76">
        <v>43167</v>
      </c>
      <c r="D84" s="101" t="s">
        <v>156</v>
      </c>
      <c r="E84" s="77" t="s">
        <v>86</v>
      </c>
      <c r="F84" s="77" t="s">
        <v>89</v>
      </c>
      <c r="G84" s="78" t="s">
        <v>152</v>
      </c>
      <c r="H84" s="102">
        <v>1</v>
      </c>
      <c r="I84" s="77" t="s">
        <v>155</v>
      </c>
      <c r="J84" s="103">
        <v>0</v>
      </c>
      <c r="K84" s="104">
        <v>3000</v>
      </c>
      <c r="L84" s="105"/>
      <c r="M84" s="106">
        <v>43040</v>
      </c>
    </row>
    <row r="85" spans="1:13" s="52" customFormat="1" ht="30" customHeight="1" thickTop="1" thickBot="1" x14ac:dyDescent="0.3">
      <c r="A85" s="100" t="s">
        <v>39</v>
      </c>
      <c r="B85" s="75" t="s">
        <v>73</v>
      </c>
      <c r="C85" s="76">
        <v>43480</v>
      </c>
      <c r="D85" s="101" t="s">
        <v>154</v>
      </c>
      <c r="E85" s="77" t="s">
        <v>86</v>
      </c>
      <c r="F85" s="77" t="s">
        <v>89</v>
      </c>
      <c r="G85" s="78" t="s">
        <v>145</v>
      </c>
      <c r="H85" s="102">
        <v>1.3215859030837005</v>
      </c>
      <c r="I85" s="77">
        <v>2731</v>
      </c>
      <c r="J85" s="103">
        <v>1450</v>
      </c>
      <c r="K85" s="104">
        <v>3000</v>
      </c>
      <c r="L85" s="105"/>
      <c r="M85" s="106">
        <v>43347</v>
      </c>
    </row>
    <row r="86" spans="1:13" s="52" customFormat="1" ht="30" customHeight="1" thickTop="1" thickBot="1" x14ac:dyDescent="0.3">
      <c r="A86" s="100" t="s">
        <v>31</v>
      </c>
      <c r="B86" s="75" t="s">
        <v>65</v>
      </c>
      <c r="C86" s="76">
        <v>43220</v>
      </c>
      <c r="D86" s="101" t="s">
        <v>154</v>
      </c>
      <c r="E86" s="77" t="s">
        <v>83</v>
      </c>
      <c r="F86" s="77" t="s">
        <v>89</v>
      </c>
      <c r="G86" s="78" t="s">
        <v>139</v>
      </c>
      <c r="H86" s="102">
        <v>0.40349697377269672</v>
      </c>
      <c r="I86" s="77">
        <v>2630</v>
      </c>
      <c r="J86" s="103">
        <v>0</v>
      </c>
      <c r="K86" s="104">
        <v>3000</v>
      </c>
      <c r="L86" s="105"/>
      <c r="M86" s="106">
        <v>43040</v>
      </c>
    </row>
    <row r="87" spans="1:13" s="52" customFormat="1" ht="30" customHeight="1" thickTop="1" thickBot="1" x14ac:dyDescent="0.3">
      <c r="A87" s="100" t="s">
        <v>29</v>
      </c>
      <c r="B87" s="75" t="s">
        <v>63</v>
      </c>
      <c r="C87" s="76">
        <v>43308</v>
      </c>
      <c r="D87" s="101" t="s">
        <v>154</v>
      </c>
      <c r="E87" s="77" t="s">
        <v>83</v>
      </c>
      <c r="F87" s="77" t="s">
        <v>89</v>
      </c>
      <c r="G87" s="78" t="s">
        <v>137</v>
      </c>
      <c r="H87" s="102">
        <v>0.78125</v>
      </c>
      <c r="I87" s="77" t="s">
        <v>110</v>
      </c>
      <c r="J87" s="103">
        <v>100</v>
      </c>
      <c r="K87" s="104">
        <v>3000</v>
      </c>
      <c r="L87" s="105"/>
      <c r="M87" s="106">
        <v>43040</v>
      </c>
    </row>
    <row r="88" spans="1:13" s="52" customFormat="1" ht="30" customHeight="1" thickTop="1" thickBot="1" x14ac:dyDescent="0.3">
      <c r="A88" s="100" t="s">
        <v>247</v>
      </c>
      <c r="B88" s="75" t="s">
        <v>248</v>
      </c>
      <c r="C88" s="76">
        <v>43474</v>
      </c>
      <c r="D88" s="101" t="s">
        <v>154</v>
      </c>
      <c r="E88" s="77" t="s">
        <v>83</v>
      </c>
      <c r="F88" s="77" t="s">
        <v>89</v>
      </c>
      <c r="G88" s="78" t="s">
        <v>249</v>
      </c>
      <c r="H88" s="102">
        <v>0.435</v>
      </c>
      <c r="I88" s="77">
        <v>2735</v>
      </c>
      <c r="J88" s="103">
        <v>1400</v>
      </c>
      <c r="K88" s="104">
        <v>3000</v>
      </c>
      <c r="L88" s="105"/>
      <c r="M88" s="106">
        <v>43313</v>
      </c>
    </row>
    <row r="89" spans="1:13" s="52" customFormat="1" ht="30" customHeight="1" thickTop="1" thickBot="1" x14ac:dyDescent="0.3">
      <c r="A89" s="100" t="s">
        <v>170</v>
      </c>
      <c r="B89" s="75" t="s">
        <v>171</v>
      </c>
      <c r="C89" s="76">
        <v>45688</v>
      </c>
      <c r="D89" s="101" t="s">
        <v>168</v>
      </c>
      <c r="E89" s="77" t="s">
        <v>83</v>
      </c>
      <c r="F89" s="77" t="s">
        <v>89</v>
      </c>
      <c r="G89" s="78" t="s">
        <v>172</v>
      </c>
      <c r="H89" s="102">
        <v>0.47</v>
      </c>
      <c r="I89" s="77">
        <v>2735</v>
      </c>
      <c r="J89" s="103">
        <v>0</v>
      </c>
      <c r="K89" s="104"/>
      <c r="L89" s="105"/>
      <c r="M89" s="106">
        <v>43040</v>
      </c>
    </row>
    <row r="90" spans="1:13" s="52" customFormat="1" ht="30" customHeight="1" thickTop="1" thickBot="1" x14ac:dyDescent="0.3">
      <c r="A90" s="100" t="s">
        <v>212</v>
      </c>
      <c r="B90" s="75" t="s">
        <v>213</v>
      </c>
      <c r="C90" s="76">
        <v>43486</v>
      </c>
      <c r="D90" s="101" t="s">
        <v>168</v>
      </c>
      <c r="E90" s="77" t="s">
        <v>83</v>
      </c>
      <c r="F90" s="77" t="s">
        <v>89</v>
      </c>
      <c r="G90" s="78" t="s">
        <v>214</v>
      </c>
      <c r="H90" s="102">
        <v>0.107</v>
      </c>
      <c r="I90" s="77" t="s">
        <v>111</v>
      </c>
      <c r="J90" s="103">
        <v>0</v>
      </c>
      <c r="K90" s="104"/>
      <c r="L90" s="105"/>
      <c r="M90" s="106">
        <v>43040</v>
      </c>
    </row>
    <row r="91" spans="1:13" s="52" customFormat="1" ht="30" customHeight="1" thickTop="1" thickBot="1" x14ac:dyDescent="0.3">
      <c r="A91" s="100" t="s">
        <v>267</v>
      </c>
      <c r="B91" s="75" t="s">
        <v>268</v>
      </c>
      <c r="C91" s="76">
        <v>44276</v>
      </c>
      <c r="D91" s="101" t="s">
        <v>168</v>
      </c>
      <c r="E91" s="77" t="s">
        <v>83</v>
      </c>
      <c r="F91" s="77" t="s">
        <v>89</v>
      </c>
      <c r="G91" s="78" t="s">
        <v>275</v>
      </c>
      <c r="H91" s="102">
        <v>0.40600000000000003</v>
      </c>
      <c r="I91" s="77" t="s">
        <v>155</v>
      </c>
      <c r="J91" s="103">
        <v>0</v>
      </c>
      <c r="K91" s="104"/>
      <c r="L91" s="105"/>
      <c r="M91" s="106">
        <v>43221</v>
      </c>
    </row>
    <row r="92" spans="1:13" s="52" customFormat="1" ht="30" customHeight="1" thickTop="1" thickBot="1" x14ac:dyDescent="0.3">
      <c r="A92" s="100" t="s">
        <v>273</v>
      </c>
      <c r="B92" s="75" t="s">
        <v>155</v>
      </c>
      <c r="C92" s="76">
        <v>43502</v>
      </c>
      <c r="D92" s="101" t="s">
        <v>156</v>
      </c>
      <c r="E92" s="77" t="s">
        <v>87</v>
      </c>
      <c r="F92" s="77" t="s">
        <v>88</v>
      </c>
      <c r="G92" s="78" t="s">
        <v>274</v>
      </c>
      <c r="H92" s="102">
        <v>1.996</v>
      </c>
      <c r="I92" s="77" t="s">
        <v>155</v>
      </c>
      <c r="J92" s="103">
        <v>1900</v>
      </c>
      <c r="K92" s="104">
        <v>3000</v>
      </c>
      <c r="L92" s="105"/>
      <c r="M92" s="106">
        <v>43206</v>
      </c>
    </row>
    <row r="93" spans="1:13" s="52" customFormat="1" ht="30" customHeight="1" thickTop="1" thickBot="1" x14ac:dyDescent="0.3">
      <c r="A93" s="100">
        <v>5605046</v>
      </c>
      <c r="B93" s="75" t="s">
        <v>155</v>
      </c>
      <c r="C93" s="76">
        <v>43056</v>
      </c>
      <c r="D93" s="101" t="s">
        <v>156</v>
      </c>
      <c r="E93" s="77" t="s">
        <v>87</v>
      </c>
      <c r="F93" s="77" t="s">
        <v>88</v>
      </c>
      <c r="G93" s="78" t="s">
        <v>262</v>
      </c>
      <c r="H93" s="102">
        <v>1</v>
      </c>
      <c r="I93" s="77" t="s">
        <v>155</v>
      </c>
      <c r="J93" s="103">
        <v>0</v>
      </c>
      <c r="K93" s="104">
        <v>3000</v>
      </c>
      <c r="L93" s="105"/>
      <c r="M93" s="106">
        <v>43040</v>
      </c>
    </row>
    <row r="94" spans="1:13" s="52" customFormat="1" ht="30" customHeight="1" thickTop="1" thickBot="1" x14ac:dyDescent="0.3">
      <c r="A94" s="100" t="s">
        <v>272</v>
      </c>
      <c r="B94" s="75" t="s">
        <v>155</v>
      </c>
      <c r="C94" s="76">
        <v>43502</v>
      </c>
      <c r="D94" s="101" t="s">
        <v>156</v>
      </c>
      <c r="E94" s="77" t="s">
        <v>87</v>
      </c>
      <c r="F94" s="77" t="s">
        <v>88</v>
      </c>
      <c r="G94" s="78" t="s">
        <v>152</v>
      </c>
      <c r="H94" s="102">
        <v>1</v>
      </c>
      <c r="I94" s="77" t="s">
        <v>155</v>
      </c>
      <c r="J94" s="103">
        <v>900</v>
      </c>
      <c r="K94" s="104">
        <v>3000</v>
      </c>
      <c r="L94" s="105"/>
      <c r="M94" s="106">
        <v>43430</v>
      </c>
    </row>
    <row r="95" spans="1:13" s="52" customFormat="1" ht="30" customHeight="1" thickTop="1" thickBot="1" x14ac:dyDescent="0.3">
      <c r="A95" s="100">
        <v>5603968</v>
      </c>
      <c r="B95" s="75" t="s">
        <v>155</v>
      </c>
      <c r="C95" s="76">
        <v>43169</v>
      </c>
      <c r="D95" s="101" t="s">
        <v>156</v>
      </c>
      <c r="E95" s="77" t="s">
        <v>87</v>
      </c>
      <c r="F95" s="77" t="s">
        <v>88</v>
      </c>
      <c r="G95" s="78" t="s">
        <v>149</v>
      </c>
      <c r="H95" s="102">
        <v>2.0020020020020022</v>
      </c>
      <c r="I95" s="77" t="s">
        <v>155</v>
      </c>
      <c r="J95" s="103">
        <v>0</v>
      </c>
      <c r="K95" s="104">
        <v>3000</v>
      </c>
      <c r="L95" s="105"/>
      <c r="M95" s="106">
        <v>43040</v>
      </c>
    </row>
    <row r="96" spans="1:13" s="52" customFormat="1" ht="30" customHeight="1" thickTop="1" thickBot="1" x14ac:dyDescent="0.3">
      <c r="A96" s="100" t="s">
        <v>11</v>
      </c>
      <c r="B96" s="75" t="s">
        <v>45</v>
      </c>
      <c r="C96" s="76">
        <v>42572</v>
      </c>
      <c r="D96" s="101" t="s">
        <v>154</v>
      </c>
      <c r="E96" s="77" t="s">
        <v>79</v>
      </c>
      <c r="F96" s="77" t="s">
        <v>89</v>
      </c>
      <c r="G96" s="78" t="s">
        <v>122</v>
      </c>
      <c r="H96" s="102">
        <v>0.35956580732700139</v>
      </c>
      <c r="I96" s="77" t="s">
        <v>92</v>
      </c>
      <c r="J96" s="103">
        <v>1750</v>
      </c>
      <c r="K96" s="104">
        <v>3000</v>
      </c>
      <c r="L96" s="105"/>
      <c r="M96" s="106">
        <v>43040</v>
      </c>
    </row>
    <row r="97" spans="1:13" s="52" customFormat="1" ht="30" customHeight="1" thickTop="1" thickBot="1" x14ac:dyDescent="0.3">
      <c r="A97" s="100" t="s">
        <v>12</v>
      </c>
      <c r="B97" s="75" t="s">
        <v>46</v>
      </c>
      <c r="C97" s="76">
        <v>43227</v>
      </c>
      <c r="D97" s="101" t="s">
        <v>154</v>
      </c>
      <c r="E97" s="77" t="s">
        <v>79</v>
      </c>
      <c r="F97" s="77" t="s">
        <v>89</v>
      </c>
      <c r="G97" s="78" t="s">
        <v>123</v>
      </c>
      <c r="H97" s="102">
        <v>0.40749796251018744</v>
      </c>
      <c r="I97" s="77" t="s">
        <v>93</v>
      </c>
      <c r="J97" s="103">
        <v>700</v>
      </c>
      <c r="K97" s="104">
        <v>3000</v>
      </c>
      <c r="L97" s="105"/>
      <c r="M97" s="106">
        <v>43040</v>
      </c>
    </row>
    <row r="98" spans="1:13" s="52" customFormat="1" ht="30" customHeight="1" thickTop="1" thickBot="1" x14ac:dyDescent="0.3">
      <c r="A98" s="100" t="s">
        <v>24</v>
      </c>
      <c r="B98" s="75" t="s">
        <v>58</v>
      </c>
      <c r="C98" s="76">
        <v>43227</v>
      </c>
      <c r="D98" s="101" t="s">
        <v>154</v>
      </c>
      <c r="E98" s="77" t="s">
        <v>79</v>
      </c>
      <c r="F98" s="77" t="s">
        <v>89</v>
      </c>
      <c r="G98" s="78" t="s">
        <v>134</v>
      </c>
      <c r="H98" s="102">
        <v>0.4122497055359246</v>
      </c>
      <c r="I98" s="77" t="s">
        <v>105</v>
      </c>
      <c r="J98" s="103">
        <v>1350</v>
      </c>
      <c r="K98" s="104">
        <v>3000</v>
      </c>
      <c r="L98" s="105"/>
      <c r="M98" s="106">
        <v>43040</v>
      </c>
    </row>
    <row r="99" spans="1:13" s="52" customFormat="1" ht="30" customHeight="1" thickTop="1" thickBot="1" x14ac:dyDescent="0.3">
      <c r="A99" s="100" t="s">
        <v>199</v>
      </c>
      <c r="B99" s="75" t="s">
        <v>200</v>
      </c>
      <c r="C99" s="76">
        <v>43731</v>
      </c>
      <c r="D99" s="101" t="s">
        <v>154</v>
      </c>
      <c r="E99" s="77" t="s">
        <v>79</v>
      </c>
      <c r="F99" s="77" t="s">
        <v>89</v>
      </c>
      <c r="G99" s="78" t="s">
        <v>121</v>
      </c>
      <c r="H99" s="102">
        <v>0.41965199590583413</v>
      </c>
      <c r="I99" s="77" t="s">
        <v>91</v>
      </c>
      <c r="J99" s="103">
        <v>0</v>
      </c>
      <c r="K99" s="104">
        <v>3000</v>
      </c>
      <c r="L99" s="105"/>
      <c r="M99" s="106">
        <v>43040</v>
      </c>
    </row>
    <row r="100" spans="1:13" s="52" customFormat="1" ht="30" customHeight="1" thickTop="1" thickBot="1" x14ac:dyDescent="0.3">
      <c r="A100" s="100" t="s">
        <v>217</v>
      </c>
      <c r="B100" s="75" t="s">
        <v>218</v>
      </c>
      <c r="C100" s="76">
        <v>43470</v>
      </c>
      <c r="D100" s="101" t="s">
        <v>154</v>
      </c>
      <c r="E100" s="77" t="s">
        <v>79</v>
      </c>
      <c r="F100" s="77" t="s">
        <v>89</v>
      </c>
      <c r="G100" s="78" t="s">
        <v>133</v>
      </c>
      <c r="H100" s="102">
        <v>0.79535026001835429</v>
      </c>
      <c r="I100" s="77" t="s">
        <v>104</v>
      </c>
      <c r="J100" s="103">
        <v>1350</v>
      </c>
      <c r="K100" s="104">
        <v>3000</v>
      </c>
      <c r="L100" s="105"/>
      <c r="M100" s="106">
        <v>43419</v>
      </c>
    </row>
    <row r="101" spans="1:13" s="52" customFormat="1" ht="30" customHeight="1" thickTop="1" thickBot="1" x14ac:dyDescent="0.3">
      <c r="A101" s="107" t="s">
        <v>206</v>
      </c>
      <c r="B101" s="79" t="s">
        <v>207</v>
      </c>
      <c r="C101" s="80">
        <v>44106</v>
      </c>
      <c r="D101" s="108" t="s">
        <v>154</v>
      </c>
      <c r="E101" s="81" t="s">
        <v>78</v>
      </c>
      <c r="F101" s="81" t="s">
        <v>88</v>
      </c>
      <c r="G101" s="82" t="s">
        <v>208</v>
      </c>
      <c r="H101" s="83">
        <v>0.1003</v>
      </c>
      <c r="I101" s="81">
        <v>2751</v>
      </c>
      <c r="J101" s="84">
        <v>0</v>
      </c>
      <c r="K101" s="109">
        <v>3000</v>
      </c>
      <c r="L101" s="110" t="s">
        <v>0</v>
      </c>
      <c r="M101" s="111">
        <v>43040</v>
      </c>
    </row>
    <row r="102" spans="1:13" s="52" customFormat="1" ht="30" customHeight="1" thickTop="1" thickBot="1" x14ac:dyDescent="0.3">
      <c r="A102" s="107" t="s">
        <v>202</v>
      </c>
      <c r="B102" s="79" t="s">
        <v>203</v>
      </c>
      <c r="C102" s="80">
        <v>43197</v>
      </c>
      <c r="D102" s="108" t="s">
        <v>154</v>
      </c>
      <c r="E102" s="81" t="s">
        <v>82</v>
      </c>
      <c r="F102" s="81" t="s">
        <v>89</v>
      </c>
      <c r="G102" s="82" t="s">
        <v>141</v>
      </c>
      <c r="H102" s="83">
        <v>0.2228</v>
      </c>
      <c r="I102" s="81" t="s">
        <v>113</v>
      </c>
      <c r="J102" s="84">
        <v>0</v>
      </c>
      <c r="K102" s="109">
        <v>3000</v>
      </c>
      <c r="L102" s="110" t="s">
        <v>0</v>
      </c>
      <c r="M102" s="111">
        <v>43040</v>
      </c>
    </row>
    <row r="103" spans="1:13" s="52" customFormat="1" ht="30" customHeight="1" thickTop="1" thickBot="1" x14ac:dyDescent="0.3">
      <c r="A103" s="107" t="s">
        <v>16</v>
      </c>
      <c r="B103" s="79" t="s">
        <v>50</v>
      </c>
      <c r="C103" s="80">
        <v>43247</v>
      </c>
      <c r="D103" s="108" t="s">
        <v>154</v>
      </c>
      <c r="E103" s="81" t="s">
        <v>82</v>
      </c>
      <c r="F103" s="81" t="s">
        <v>89</v>
      </c>
      <c r="G103" s="82" t="s">
        <v>126</v>
      </c>
      <c r="H103" s="83">
        <v>0.23248761750732841</v>
      </c>
      <c r="I103" s="81" t="s">
        <v>97</v>
      </c>
      <c r="J103" s="84">
        <v>0</v>
      </c>
      <c r="K103" s="109">
        <v>3000</v>
      </c>
      <c r="L103" s="110" t="s">
        <v>0</v>
      </c>
      <c r="M103" s="111">
        <v>43040</v>
      </c>
    </row>
    <row r="104" spans="1:13" s="52" customFormat="1" ht="30" customHeight="1" thickTop="1" thickBot="1" x14ac:dyDescent="0.3">
      <c r="A104" s="107" t="s">
        <v>18</v>
      </c>
      <c r="B104" s="79" t="s">
        <v>52</v>
      </c>
      <c r="C104" s="80">
        <v>44465</v>
      </c>
      <c r="D104" s="108" t="s">
        <v>154</v>
      </c>
      <c r="E104" s="81" t="s">
        <v>82</v>
      </c>
      <c r="F104" s="81" t="s">
        <v>89</v>
      </c>
      <c r="G104" s="82" t="s">
        <v>128</v>
      </c>
      <c r="H104" s="83">
        <v>0.21145906756620683</v>
      </c>
      <c r="I104" s="81" t="s">
        <v>99</v>
      </c>
      <c r="J104" s="84">
        <v>0</v>
      </c>
      <c r="K104" s="109">
        <v>3000</v>
      </c>
      <c r="L104" s="110" t="s">
        <v>0</v>
      </c>
      <c r="M104" s="111">
        <v>43040</v>
      </c>
    </row>
    <row r="105" spans="1:13" s="52" customFormat="1" ht="30" customHeight="1" thickTop="1" thickBot="1" x14ac:dyDescent="0.3">
      <c r="A105" s="107" t="s">
        <v>204</v>
      </c>
      <c r="B105" s="79" t="s">
        <v>205</v>
      </c>
      <c r="C105" s="80">
        <v>42665</v>
      </c>
      <c r="D105" s="108" t="s">
        <v>154</v>
      </c>
      <c r="E105" s="81" t="s">
        <v>81</v>
      </c>
      <c r="F105" s="81" t="s">
        <v>89</v>
      </c>
      <c r="G105" s="82">
        <v>9.8569999999999994E-3</v>
      </c>
      <c r="H105" s="83">
        <v>0.2029</v>
      </c>
      <c r="I105" s="81" t="s">
        <v>107</v>
      </c>
      <c r="J105" s="84">
        <v>0</v>
      </c>
      <c r="K105" s="109">
        <v>3000</v>
      </c>
      <c r="L105" s="110" t="s">
        <v>0</v>
      </c>
      <c r="M105" s="111">
        <v>43040</v>
      </c>
    </row>
    <row r="106" spans="1:13" s="52" customFormat="1" ht="30" customHeight="1" thickTop="1" thickBot="1" x14ac:dyDescent="0.3">
      <c r="A106" s="107" t="s">
        <v>15</v>
      </c>
      <c r="B106" s="79" t="s">
        <v>49</v>
      </c>
      <c r="C106" s="80">
        <v>43633</v>
      </c>
      <c r="D106" s="108" t="s">
        <v>154</v>
      </c>
      <c r="E106" s="81" t="s">
        <v>81</v>
      </c>
      <c r="F106" s="81" t="s">
        <v>89</v>
      </c>
      <c r="G106" s="82">
        <v>6.9440000000000002E-2</v>
      </c>
      <c r="H106" s="83">
        <v>0.18720000000000001</v>
      </c>
      <c r="I106" s="81" t="s">
        <v>96</v>
      </c>
      <c r="J106" s="84">
        <v>0</v>
      </c>
      <c r="K106" s="109">
        <v>3000</v>
      </c>
      <c r="L106" s="110" t="s">
        <v>0</v>
      </c>
      <c r="M106" s="111">
        <v>43040</v>
      </c>
    </row>
    <row r="107" spans="1:13" s="52" customFormat="1" ht="30" customHeight="1" thickTop="1" thickBot="1" x14ac:dyDescent="0.3">
      <c r="A107" s="107" t="s">
        <v>43</v>
      </c>
      <c r="B107" s="79" t="s">
        <v>77</v>
      </c>
      <c r="C107" s="80">
        <v>44294</v>
      </c>
      <c r="D107" s="108" t="s">
        <v>154</v>
      </c>
      <c r="E107" s="81" t="s">
        <v>81</v>
      </c>
      <c r="F107" s="81" t="s">
        <v>89</v>
      </c>
      <c r="G107" s="82">
        <v>0.1608</v>
      </c>
      <c r="H107" s="83">
        <v>0.12429999999999999</v>
      </c>
      <c r="I107" s="81">
        <v>2745</v>
      </c>
      <c r="J107" s="84">
        <v>0</v>
      </c>
      <c r="K107" s="109">
        <v>3000</v>
      </c>
      <c r="L107" s="110" t="s">
        <v>0</v>
      </c>
      <c r="M107" s="111">
        <v>43040</v>
      </c>
    </row>
    <row r="108" spans="1:13" s="52" customFormat="1" ht="30" customHeight="1" thickTop="1" thickBot="1" x14ac:dyDescent="0.3">
      <c r="A108" s="107" t="s">
        <v>30</v>
      </c>
      <c r="B108" s="79" t="s">
        <v>64</v>
      </c>
      <c r="C108" s="80">
        <v>43079</v>
      </c>
      <c r="D108" s="108" t="s">
        <v>154</v>
      </c>
      <c r="E108" s="81" t="s">
        <v>83</v>
      </c>
      <c r="F108" s="81" t="s">
        <v>89</v>
      </c>
      <c r="G108" s="82" t="s">
        <v>138</v>
      </c>
      <c r="H108" s="83">
        <v>0.99009900990099009</v>
      </c>
      <c r="I108" s="81" t="s">
        <v>111</v>
      </c>
      <c r="J108" s="84">
        <v>0</v>
      </c>
      <c r="K108" s="109">
        <v>3000</v>
      </c>
      <c r="L108" s="110" t="s">
        <v>0</v>
      </c>
      <c r="M108" s="111">
        <v>43040</v>
      </c>
    </row>
    <row r="109" spans="1:13" s="52" customFormat="1" ht="30" customHeight="1" thickTop="1" thickBot="1" x14ac:dyDescent="0.3">
      <c r="A109" s="107" t="s">
        <v>198</v>
      </c>
      <c r="B109" s="79" t="s">
        <v>155</v>
      </c>
      <c r="C109" s="80">
        <v>43678</v>
      </c>
      <c r="D109" s="108" t="s">
        <v>156</v>
      </c>
      <c r="E109" s="81" t="s">
        <v>83</v>
      </c>
      <c r="F109" s="81" t="s">
        <v>89</v>
      </c>
      <c r="G109" s="82" t="s">
        <v>153</v>
      </c>
      <c r="H109" s="83">
        <v>0.29940119760479039</v>
      </c>
      <c r="I109" s="81" t="s">
        <v>155</v>
      </c>
      <c r="J109" s="84">
        <v>0</v>
      </c>
      <c r="K109" s="109">
        <v>3000</v>
      </c>
      <c r="L109" s="110" t="s">
        <v>0</v>
      </c>
      <c r="M109" s="111">
        <v>43040</v>
      </c>
    </row>
    <row r="110" spans="1:13" s="52" customFormat="1" ht="30" customHeight="1" thickTop="1" thickBot="1" x14ac:dyDescent="0.3">
      <c r="A110" s="107" t="s">
        <v>20</v>
      </c>
      <c r="B110" s="79" t="s">
        <v>54</v>
      </c>
      <c r="C110" s="80">
        <v>43549</v>
      </c>
      <c r="D110" s="108" t="s">
        <v>154</v>
      </c>
      <c r="E110" s="81" t="s">
        <v>83</v>
      </c>
      <c r="F110" s="81" t="s">
        <v>89</v>
      </c>
      <c r="G110" s="82" t="s">
        <v>129</v>
      </c>
      <c r="H110" s="83">
        <v>0.69686411149825789</v>
      </c>
      <c r="I110" s="81" t="s">
        <v>100</v>
      </c>
      <c r="J110" s="84">
        <v>0</v>
      </c>
      <c r="K110" s="109">
        <v>3000</v>
      </c>
      <c r="L110" s="110" t="s">
        <v>0</v>
      </c>
      <c r="M110" s="111">
        <v>43040</v>
      </c>
    </row>
    <row r="111" spans="1:13" s="52" customFormat="1" ht="30" customHeight="1" thickTop="1" thickBot="1" x14ac:dyDescent="0.3">
      <c r="A111" s="107" t="s">
        <v>22</v>
      </c>
      <c r="B111" s="79" t="s">
        <v>56</v>
      </c>
      <c r="C111" s="80">
        <v>43016</v>
      </c>
      <c r="D111" s="108" t="s">
        <v>154</v>
      </c>
      <c r="E111" s="81" t="s">
        <v>83</v>
      </c>
      <c r="F111" s="81" t="s">
        <v>89</v>
      </c>
      <c r="G111" s="82" t="s">
        <v>131</v>
      </c>
      <c r="H111" s="83">
        <v>0.44615696613263028</v>
      </c>
      <c r="I111" s="81" t="s">
        <v>102</v>
      </c>
      <c r="J111" s="84">
        <v>0</v>
      </c>
      <c r="K111" s="109">
        <v>3000</v>
      </c>
      <c r="L111" s="110" t="s">
        <v>0</v>
      </c>
      <c r="M111" s="111">
        <v>43040</v>
      </c>
    </row>
    <row r="112" spans="1:13" s="52" customFormat="1" ht="30" customHeight="1" thickTop="1" thickBot="1" x14ac:dyDescent="0.3">
      <c r="A112" s="107">
        <v>5604190</v>
      </c>
      <c r="B112" s="79" t="s">
        <v>155</v>
      </c>
      <c r="C112" s="80">
        <v>43870</v>
      </c>
      <c r="D112" s="108" t="s">
        <v>156</v>
      </c>
      <c r="E112" s="81" t="s">
        <v>83</v>
      </c>
      <c r="F112" s="81" t="s">
        <v>89</v>
      </c>
      <c r="G112" s="82" t="s">
        <v>150</v>
      </c>
      <c r="H112" s="83">
        <v>0.24014408645187113</v>
      </c>
      <c r="I112" s="81" t="s">
        <v>155</v>
      </c>
      <c r="J112" s="84">
        <v>0</v>
      </c>
      <c r="K112" s="109">
        <v>3000</v>
      </c>
      <c r="L112" s="110" t="s">
        <v>0</v>
      </c>
      <c r="M112" s="111">
        <v>43040</v>
      </c>
    </row>
    <row r="113" spans="1:13" s="52" customFormat="1" ht="30" customHeight="1" thickTop="1" thickBot="1" x14ac:dyDescent="0.3">
      <c r="A113" s="107" t="s">
        <v>41</v>
      </c>
      <c r="B113" s="79" t="s">
        <v>75</v>
      </c>
      <c r="C113" s="80">
        <v>42435</v>
      </c>
      <c r="D113" s="108" t="s">
        <v>154</v>
      </c>
      <c r="E113" s="81" t="s">
        <v>83</v>
      </c>
      <c r="F113" s="81" t="s">
        <v>89</v>
      </c>
      <c r="G113" s="82" t="s">
        <v>147</v>
      </c>
      <c r="H113" s="83">
        <v>0.93109869646182497</v>
      </c>
      <c r="I113" s="81">
        <v>2737</v>
      </c>
      <c r="J113" s="84">
        <v>0</v>
      </c>
      <c r="K113" s="109">
        <v>3000</v>
      </c>
      <c r="L113" s="110" t="s">
        <v>0</v>
      </c>
      <c r="M113" s="111">
        <v>43040</v>
      </c>
    </row>
    <row r="114" spans="1:13" s="52" customFormat="1" ht="30" customHeight="1" thickTop="1" thickBot="1" x14ac:dyDescent="0.3">
      <c r="A114" s="107" t="s">
        <v>40</v>
      </c>
      <c r="B114" s="79" t="s">
        <v>74</v>
      </c>
      <c r="C114" s="80">
        <v>43474</v>
      </c>
      <c r="D114" s="108" t="s">
        <v>154</v>
      </c>
      <c r="E114" s="81" t="s">
        <v>83</v>
      </c>
      <c r="F114" s="81" t="s">
        <v>89</v>
      </c>
      <c r="G114" s="82" t="s">
        <v>146</v>
      </c>
      <c r="H114" s="83">
        <v>0.43456032719836402</v>
      </c>
      <c r="I114" s="81">
        <v>2735</v>
      </c>
      <c r="J114" s="84">
        <v>0</v>
      </c>
      <c r="K114" s="109">
        <v>3000</v>
      </c>
      <c r="L114" s="110" t="s">
        <v>0</v>
      </c>
      <c r="M114" s="111">
        <v>43040</v>
      </c>
    </row>
    <row r="115" spans="1:13" s="52" customFormat="1" ht="30" customHeight="1" thickTop="1" thickBot="1" x14ac:dyDescent="0.3">
      <c r="A115" s="107" t="s">
        <v>21</v>
      </c>
      <c r="B115" s="79" t="s">
        <v>55</v>
      </c>
      <c r="C115" s="80">
        <v>43855</v>
      </c>
      <c r="D115" s="108" t="s">
        <v>154</v>
      </c>
      <c r="E115" s="81" t="s">
        <v>83</v>
      </c>
      <c r="F115" s="81" t="s">
        <v>89</v>
      </c>
      <c r="G115" s="82" t="s">
        <v>130</v>
      </c>
      <c r="H115" s="83">
        <v>0.50125313283208017</v>
      </c>
      <c r="I115" s="81" t="s">
        <v>101</v>
      </c>
      <c r="J115" s="84">
        <v>0</v>
      </c>
      <c r="K115" s="109">
        <v>3000</v>
      </c>
      <c r="L115" s="110" t="s">
        <v>0</v>
      </c>
      <c r="M115" s="111">
        <v>43040</v>
      </c>
    </row>
    <row r="116" spans="1:13" s="52" customFormat="1" ht="30" customHeight="1" thickTop="1" thickBot="1" x14ac:dyDescent="0.3">
      <c r="A116" s="107">
        <v>5604131</v>
      </c>
      <c r="B116" s="79" t="s">
        <v>155</v>
      </c>
      <c r="C116" s="80">
        <v>42791</v>
      </c>
      <c r="D116" s="108" t="s">
        <v>156</v>
      </c>
      <c r="E116" s="81" t="s">
        <v>87</v>
      </c>
      <c r="F116" s="81" t="s">
        <v>201</v>
      </c>
      <c r="G116" s="82" t="s">
        <v>149</v>
      </c>
      <c r="H116" s="83">
        <v>2</v>
      </c>
      <c r="I116" s="81" t="s">
        <v>155</v>
      </c>
      <c r="J116" s="84">
        <v>0</v>
      </c>
      <c r="K116" s="109">
        <v>3000</v>
      </c>
      <c r="L116" s="110" t="s">
        <v>0</v>
      </c>
      <c r="M116" s="111">
        <v>43040</v>
      </c>
    </row>
    <row r="117" spans="1:13" s="52" customFormat="1" ht="30" customHeight="1" thickTop="1" thickBot="1" x14ac:dyDescent="0.3">
      <c r="A117" s="107" t="s">
        <v>38</v>
      </c>
      <c r="B117" s="79" t="s">
        <v>72</v>
      </c>
      <c r="C117" s="80">
        <v>42369</v>
      </c>
      <c r="D117" s="108" t="s">
        <v>154</v>
      </c>
      <c r="E117" s="81" t="s">
        <v>85</v>
      </c>
      <c r="F117" s="81" t="s">
        <v>88</v>
      </c>
      <c r="G117" s="82" t="s">
        <v>144</v>
      </c>
      <c r="H117" s="83">
        <v>1.0204081632653061</v>
      </c>
      <c r="I117" s="81" t="s">
        <v>119</v>
      </c>
      <c r="J117" s="84">
        <v>0</v>
      </c>
      <c r="K117" s="109">
        <v>3000</v>
      </c>
      <c r="L117" s="110" t="s">
        <v>0</v>
      </c>
      <c r="M117" s="111">
        <v>43040</v>
      </c>
    </row>
    <row r="118" spans="1:13" s="52" customFormat="1" ht="30" customHeight="1" thickTop="1" thickBot="1" x14ac:dyDescent="0.3">
      <c r="A118" s="107" t="s">
        <v>23</v>
      </c>
      <c r="B118" s="79" t="s">
        <v>57</v>
      </c>
      <c r="C118" s="80">
        <v>42743</v>
      </c>
      <c r="D118" s="108" t="s">
        <v>154</v>
      </c>
      <c r="E118" s="81" t="s">
        <v>79</v>
      </c>
      <c r="F118" s="81" t="s">
        <v>89</v>
      </c>
      <c r="G118" s="82" t="s">
        <v>132</v>
      </c>
      <c r="H118" s="83">
        <v>1.0388531061707875</v>
      </c>
      <c r="I118" s="81">
        <v>1689</v>
      </c>
      <c r="J118" s="84">
        <v>200</v>
      </c>
      <c r="K118" s="109">
        <v>3000</v>
      </c>
      <c r="L118" s="110" t="s">
        <v>0</v>
      </c>
      <c r="M118" s="111">
        <v>43040</v>
      </c>
    </row>
    <row r="119" spans="1:13" s="52" customFormat="1" ht="30" customHeight="1" thickTop="1" thickBot="1" x14ac:dyDescent="0.3">
      <c r="A119" s="107">
        <v>5603573</v>
      </c>
      <c r="B119" s="79" t="s">
        <v>155</v>
      </c>
      <c r="C119" s="80">
        <v>43139</v>
      </c>
      <c r="D119" s="108" t="s">
        <v>156</v>
      </c>
      <c r="E119" s="81" t="s">
        <v>79</v>
      </c>
      <c r="F119" s="81" t="s">
        <v>89</v>
      </c>
      <c r="G119" s="82" t="s">
        <v>151</v>
      </c>
      <c r="H119" s="83">
        <v>0.39904229848363937</v>
      </c>
      <c r="I119" s="81" t="s">
        <v>155</v>
      </c>
      <c r="J119" s="84">
        <v>0</v>
      </c>
      <c r="K119" s="109">
        <v>3000</v>
      </c>
      <c r="L119" s="110" t="s">
        <v>0</v>
      </c>
      <c r="M119" s="111">
        <v>43040</v>
      </c>
    </row>
    <row r="120" spans="1:13" s="52" customFormat="1" ht="30" customHeight="1" thickTop="1" thickBot="1" x14ac:dyDescent="0.3">
      <c r="A120" s="107" t="s">
        <v>225</v>
      </c>
      <c r="B120" s="79" t="s">
        <v>226</v>
      </c>
      <c r="C120" s="80">
        <v>43470</v>
      </c>
      <c r="D120" s="108" t="s">
        <v>154</v>
      </c>
      <c r="E120" s="81" t="s">
        <v>79</v>
      </c>
      <c r="F120" s="81" t="s">
        <v>89</v>
      </c>
      <c r="G120" s="82" t="s">
        <v>133</v>
      </c>
      <c r="H120" s="83">
        <v>0.79500000000000004</v>
      </c>
      <c r="I120" s="81" t="s">
        <v>104</v>
      </c>
      <c r="J120" s="84">
        <v>0</v>
      </c>
      <c r="K120" s="109">
        <v>3000</v>
      </c>
      <c r="L120" s="110" t="s">
        <v>0</v>
      </c>
      <c r="M120" s="111">
        <v>43040</v>
      </c>
    </row>
    <row r="121" spans="1:13" ht="30" customHeight="1" thickTop="1" x14ac:dyDescent="0.25"/>
  </sheetData>
  <mergeCells count="2">
    <mergeCell ref="A1:E1"/>
    <mergeCell ref="G1:H1"/>
  </mergeCells>
  <dataValidations xWindow="465" yWindow="297" count="7">
    <dataValidation allowBlank="1" showInputMessage="1" showErrorMessage="1" prompt="Enter the item inventory ID in this column" sqref="A3"/>
    <dataValidation allowBlank="1" showInputMessage="1" showErrorMessage="1" prompt="Enter the name of the item in this column" sqref="B3"/>
    <dataValidation allowBlank="1" showInputMessage="1" showErrorMessage="1" prompt="Enter a description of the item in this column" sqref="C3"/>
    <dataValidation allowBlank="1" showInputMessage="1" showErrorMessage="1" prompt="Enter the unit price of each item in this column" sqref="D3:I3"/>
    <dataValidation allowBlank="1" showInputMessage="1" showErrorMessage="1" prompt="Enter the quantity in stock for each item in this column" sqref="J3"/>
    <dataValidation allowBlank="1" showInputMessage="1" showErrorMessage="1" prompt="Enter yes if the item has been discontinued. When a yes is entered, the corresponding row is highlighted a light grey and the font style changed to strikethrough" sqref="L3"/>
    <dataValidation allowBlank="1" showInputMessage="1" showErrorMessage="1" prompt="Enter the number of days it takes to reorder each item in this column" sqref="K3"/>
  </dataValidations>
  <printOptions horizontalCentered="1"/>
  <pageMargins left="0.25" right="0.25" top="0.75" bottom="0.75" header="0.05" footer="0.3"/>
  <pageSetup scale="47" fitToHeight="0" orientation="portrait" r:id="rId1"/>
  <headerFooter differentFirst="1">
    <oddFooter>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ort_List">
                <anchor moveWithCells="1" sizeWithCells="1">
                  <from>
                    <xdr:col>11</xdr:col>
                    <xdr:colOff>38100</xdr:colOff>
                    <xdr:row>0</xdr:row>
                    <xdr:rowOff>38100</xdr:rowOff>
                  </from>
                  <to>
                    <xdr:col>11</xdr:col>
                    <xdr:colOff>1276350</xdr:colOff>
                    <xdr:row>0</xdr:row>
                    <xdr:rowOff>609600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Email_Button_Click.Email_Button_Click">
                <anchor moveWithCells="1" sizeWithCells="1">
                  <from>
                    <xdr:col>10</xdr:col>
                    <xdr:colOff>38100</xdr:colOff>
                    <xdr:row>0</xdr:row>
                    <xdr:rowOff>38100</xdr:rowOff>
                  </from>
                  <to>
                    <xdr:col>10</xdr:col>
                    <xdr:colOff>1076325</xdr:colOff>
                    <xdr:row>0</xdr:row>
                    <xdr:rowOff>609600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124"/>
  <sheetViews>
    <sheetView topLeftCell="A40" workbookViewId="0">
      <selection activeCell="D17" sqref="D17"/>
    </sheetView>
  </sheetViews>
  <sheetFormatPr defaultRowHeight="15" x14ac:dyDescent="0.25"/>
  <cols>
    <col min="1" max="1" width="13.85546875" customWidth="1"/>
    <col min="3" max="3" width="10.85546875" customWidth="1"/>
    <col min="5" max="5" width="14" customWidth="1"/>
    <col min="6" max="6" width="11.5703125" customWidth="1"/>
    <col min="7" max="7" width="10.42578125" customWidth="1"/>
    <col min="8" max="8" width="12.42578125" customWidth="1"/>
    <col min="9" max="9" width="11.28515625" customWidth="1"/>
    <col min="10" max="10" width="13" customWidth="1"/>
  </cols>
  <sheetData>
    <row r="1" spans="1:17" ht="25.5" x14ac:dyDescent="0.25">
      <c r="A1" s="15" t="s">
        <v>1</v>
      </c>
      <c r="B1" s="15" t="s">
        <v>5</v>
      </c>
      <c r="C1" s="15" t="s">
        <v>6</v>
      </c>
      <c r="D1" s="15" t="s">
        <v>7</v>
      </c>
      <c r="E1" s="15" t="s">
        <v>8</v>
      </c>
      <c r="F1" s="15" t="s">
        <v>9</v>
      </c>
      <c r="G1" s="15" t="s">
        <v>263</v>
      </c>
      <c r="H1" s="15" t="s">
        <v>3</v>
      </c>
      <c r="I1" s="15" t="s">
        <v>265</v>
      </c>
      <c r="J1" s="15" t="s">
        <v>264</v>
      </c>
    </row>
    <row r="2" spans="1:17" x14ac:dyDescent="0.25">
      <c r="A2" s="14" t="s">
        <v>314</v>
      </c>
      <c r="B2" t="s">
        <v>156</v>
      </c>
      <c r="C2" t="s">
        <v>80</v>
      </c>
      <c r="D2" t="s">
        <v>89</v>
      </c>
      <c r="E2" s="16">
        <v>1.0004000000000001E-2</v>
      </c>
      <c r="F2" s="13" t="s">
        <v>155</v>
      </c>
      <c r="G2" s="17">
        <v>1</v>
      </c>
      <c r="H2" s="19">
        <v>45181</v>
      </c>
      <c r="I2" s="18">
        <v>3000</v>
      </c>
      <c r="J2" s="18">
        <v>0</v>
      </c>
    </row>
    <row r="3" spans="1:17" x14ac:dyDescent="0.25">
      <c r="A3" s="14" t="s">
        <v>320</v>
      </c>
      <c r="B3" t="s">
        <v>154</v>
      </c>
      <c r="C3" t="s">
        <v>80</v>
      </c>
      <c r="D3" t="s">
        <v>89</v>
      </c>
      <c r="E3" s="13" t="s">
        <v>142</v>
      </c>
      <c r="F3" s="13" t="s">
        <v>114</v>
      </c>
      <c r="G3" s="17">
        <v>1</v>
      </c>
      <c r="H3" s="19">
        <v>44749</v>
      </c>
      <c r="I3" s="18">
        <v>3000</v>
      </c>
      <c r="J3" s="18">
        <v>0</v>
      </c>
      <c r="Q3" s="12"/>
    </row>
    <row r="4" spans="1:17" x14ac:dyDescent="0.25">
      <c r="A4" s="14" t="s">
        <v>318</v>
      </c>
      <c r="B4" t="s">
        <v>154</v>
      </c>
      <c r="C4" t="s">
        <v>80</v>
      </c>
      <c r="D4" t="s">
        <v>88</v>
      </c>
      <c r="E4" s="13" t="s">
        <v>221</v>
      </c>
      <c r="F4" s="13" t="s">
        <v>222</v>
      </c>
      <c r="G4" s="17">
        <v>1</v>
      </c>
      <c r="H4" s="19">
        <v>45516</v>
      </c>
      <c r="I4" s="18">
        <v>3000</v>
      </c>
      <c r="J4" s="18">
        <v>0</v>
      </c>
    </row>
    <row r="5" spans="1:17" x14ac:dyDescent="0.25">
      <c r="A5" s="14" t="s">
        <v>312</v>
      </c>
      <c r="B5" t="s">
        <v>156</v>
      </c>
      <c r="C5" t="s">
        <v>80</v>
      </c>
      <c r="D5" t="s">
        <v>89</v>
      </c>
      <c r="E5" s="13" t="s">
        <v>313</v>
      </c>
      <c r="F5" s="13" t="s">
        <v>155</v>
      </c>
      <c r="G5" s="17">
        <v>1</v>
      </c>
      <c r="H5" s="19">
        <v>45181</v>
      </c>
      <c r="I5" s="18">
        <v>3000</v>
      </c>
      <c r="J5" s="18">
        <v>0</v>
      </c>
    </row>
    <row r="6" spans="1:17" x14ac:dyDescent="0.25">
      <c r="A6" s="14" t="s">
        <v>13</v>
      </c>
      <c r="B6" t="s">
        <v>154</v>
      </c>
      <c r="C6" t="s">
        <v>80</v>
      </c>
      <c r="D6" t="s">
        <v>88</v>
      </c>
      <c r="E6" s="13" t="s">
        <v>124</v>
      </c>
      <c r="F6" s="13" t="s">
        <v>94</v>
      </c>
      <c r="G6" s="17">
        <v>0.5</v>
      </c>
      <c r="H6" s="19">
        <v>43743</v>
      </c>
      <c r="I6" s="18">
        <v>3000</v>
      </c>
      <c r="J6" s="18">
        <v>0</v>
      </c>
    </row>
    <row r="7" spans="1:17" x14ac:dyDescent="0.25">
      <c r="A7" s="14" t="s">
        <v>311</v>
      </c>
      <c r="B7" t="s">
        <v>156</v>
      </c>
      <c r="C7" t="s">
        <v>78</v>
      </c>
      <c r="D7" t="s">
        <v>89</v>
      </c>
      <c r="E7" s="16">
        <v>1.0015E-2</v>
      </c>
      <c r="F7" s="13" t="s">
        <v>155</v>
      </c>
      <c r="G7" s="17">
        <v>1</v>
      </c>
      <c r="H7" s="19">
        <v>45182</v>
      </c>
      <c r="I7" s="18">
        <v>3000</v>
      </c>
      <c r="J7" s="18">
        <v>0</v>
      </c>
    </row>
    <row r="8" spans="1:17" x14ac:dyDescent="0.25">
      <c r="A8" s="14" t="s">
        <v>309</v>
      </c>
      <c r="B8" t="s">
        <v>156</v>
      </c>
      <c r="C8" t="s">
        <v>78</v>
      </c>
      <c r="D8" t="s">
        <v>89</v>
      </c>
      <c r="E8" s="13" t="s">
        <v>310</v>
      </c>
      <c r="F8" s="13" t="s">
        <v>155</v>
      </c>
      <c r="G8" s="17">
        <v>1</v>
      </c>
      <c r="H8" s="19">
        <v>45181</v>
      </c>
      <c r="I8" s="18">
        <v>3000</v>
      </c>
      <c r="J8" s="18">
        <v>0</v>
      </c>
    </row>
    <row r="9" spans="1:17" x14ac:dyDescent="0.25">
      <c r="A9" s="14" t="s">
        <v>266</v>
      </c>
      <c r="B9" t="s">
        <v>154</v>
      </c>
      <c r="C9" t="s">
        <v>78</v>
      </c>
      <c r="D9" t="s">
        <v>88</v>
      </c>
      <c r="E9" s="13" t="s">
        <v>120</v>
      </c>
      <c r="F9" s="13" t="s">
        <v>90</v>
      </c>
      <c r="G9" s="17">
        <v>0.23684210526315788</v>
      </c>
      <c r="H9" s="19">
        <v>44076</v>
      </c>
      <c r="I9" s="18">
        <v>3000</v>
      </c>
      <c r="J9" s="18">
        <v>0</v>
      </c>
      <c r="Q9" s="12"/>
    </row>
    <row r="10" spans="1:17" x14ac:dyDescent="0.25">
      <c r="A10" s="14" t="s">
        <v>158</v>
      </c>
      <c r="B10" t="s">
        <v>154</v>
      </c>
      <c r="C10" t="s">
        <v>78</v>
      </c>
      <c r="D10" t="s">
        <v>88</v>
      </c>
      <c r="E10" s="13" t="s">
        <v>160</v>
      </c>
      <c r="F10" s="13">
        <v>2751</v>
      </c>
      <c r="G10" s="17">
        <v>0.84210526315789469</v>
      </c>
      <c r="H10" s="19">
        <v>44106</v>
      </c>
      <c r="I10" s="18">
        <v>3000</v>
      </c>
      <c r="J10" s="18">
        <v>0</v>
      </c>
      <c r="Q10" s="12"/>
    </row>
    <row r="11" spans="1:17" x14ac:dyDescent="0.25">
      <c r="A11" s="14" t="s">
        <v>276</v>
      </c>
      <c r="B11" t="s">
        <v>154</v>
      </c>
      <c r="C11" t="s">
        <v>82</v>
      </c>
      <c r="D11" t="s">
        <v>89</v>
      </c>
      <c r="E11" s="13" t="s">
        <v>278</v>
      </c>
      <c r="F11" s="13" t="s">
        <v>279</v>
      </c>
      <c r="G11" s="17">
        <v>0.39473684210526316</v>
      </c>
      <c r="H11" s="19">
        <v>44283</v>
      </c>
      <c r="I11" s="18">
        <v>3000</v>
      </c>
      <c r="J11" s="18">
        <v>0</v>
      </c>
      <c r="Q11" s="12"/>
    </row>
    <row r="12" spans="1:17" x14ac:dyDescent="0.25">
      <c r="A12" s="14" t="s">
        <v>326</v>
      </c>
      <c r="B12" t="s">
        <v>154</v>
      </c>
      <c r="C12" t="s">
        <v>82</v>
      </c>
      <c r="D12" t="s">
        <v>89</v>
      </c>
      <c r="E12" s="13" t="s">
        <v>328</v>
      </c>
      <c r="F12" s="13" t="s">
        <v>329</v>
      </c>
      <c r="G12" s="17">
        <v>1</v>
      </c>
      <c r="H12" s="19">
        <v>44749</v>
      </c>
      <c r="I12" s="18">
        <v>3000</v>
      </c>
      <c r="J12" s="18">
        <v>0</v>
      </c>
      <c r="Q12" s="12"/>
    </row>
    <row r="13" spans="1:17" x14ac:dyDescent="0.25">
      <c r="A13" s="14" t="s">
        <v>283</v>
      </c>
      <c r="B13" t="s">
        <v>154</v>
      </c>
      <c r="C13" t="s">
        <v>82</v>
      </c>
      <c r="D13" t="s">
        <v>89</v>
      </c>
      <c r="E13" s="13" t="s">
        <v>285</v>
      </c>
      <c r="F13" s="13" t="s">
        <v>286</v>
      </c>
      <c r="G13" s="17">
        <v>1</v>
      </c>
      <c r="H13" s="19">
        <v>44459</v>
      </c>
      <c r="I13" s="18">
        <v>3000</v>
      </c>
      <c r="J13" s="18">
        <v>0</v>
      </c>
      <c r="Q13" s="12"/>
    </row>
    <row r="14" spans="1:17" x14ac:dyDescent="0.25">
      <c r="A14" s="14" t="s">
        <v>19</v>
      </c>
      <c r="B14" t="s">
        <v>154</v>
      </c>
      <c r="C14" t="s">
        <v>82</v>
      </c>
      <c r="D14" t="s">
        <v>89</v>
      </c>
      <c r="E14" s="13" t="s">
        <v>128</v>
      </c>
      <c r="F14" s="13" t="s">
        <v>99</v>
      </c>
      <c r="G14" s="17">
        <v>0.47368421052631576</v>
      </c>
      <c r="H14" s="19">
        <v>44465</v>
      </c>
      <c r="I14" s="18">
        <v>3000</v>
      </c>
      <c r="J14" s="18">
        <v>0</v>
      </c>
      <c r="Q14" s="12"/>
    </row>
    <row r="15" spans="1:17" x14ac:dyDescent="0.25">
      <c r="A15" s="14" t="s">
        <v>192</v>
      </c>
      <c r="B15" t="s">
        <v>154</v>
      </c>
      <c r="C15" t="s">
        <v>81</v>
      </c>
      <c r="D15" t="s">
        <v>89</v>
      </c>
      <c r="E15" s="16">
        <v>9.8569999999999994E-3</v>
      </c>
      <c r="F15" s="13" t="s">
        <v>107</v>
      </c>
      <c r="G15" s="17">
        <v>0.57894736842105265</v>
      </c>
      <c r="H15" s="19">
        <v>45081</v>
      </c>
      <c r="I15" s="18">
        <v>3000</v>
      </c>
      <c r="J15" s="18">
        <v>0</v>
      </c>
      <c r="Q15" s="12"/>
    </row>
    <row r="16" spans="1:17" x14ac:dyDescent="0.25">
      <c r="A16" s="14" t="s">
        <v>302</v>
      </c>
      <c r="B16" t="s">
        <v>154</v>
      </c>
      <c r="C16" t="s">
        <v>81</v>
      </c>
      <c r="D16" t="s">
        <v>89</v>
      </c>
      <c r="E16" s="16">
        <v>6.9440000000000002E-2</v>
      </c>
      <c r="F16" s="13" t="s">
        <v>96</v>
      </c>
      <c r="G16" s="17">
        <v>1</v>
      </c>
      <c r="H16" s="19">
        <v>46034</v>
      </c>
      <c r="I16" s="18">
        <v>3000</v>
      </c>
      <c r="J16" s="18">
        <v>0</v>
      </c>
      <c r="Q16" s="12"/>
    </row>
    <row r="17" spans="1:17" x14ac:dyDescent="0.25">
      <c r="A17" s="14" t="s">
        <v>316</v>
      </c>
      <c r="B17" t="s">
        <v>156</v>
      </c>
      <c r="C17" t="s">
        <v>81</v>
      </c>
      <c r="D17" t="s">
        <v>89</v>
      </c>
      <c r="E17" s="16">
        <v>0.11008</v>
      </c>
      <c r="F17" s="13" t="s">
        <v>155</v>
      </c>
      <c r="G17" s="17">
        <v>1</v>
      </c>
      <c r="H17" s="19">
        <v>45182</v>
      </c>
      <c r="I17" s="18">
        <v>3000</v>
      </c>
      <c r="J17" s="18">
        <v>0</v>
      </c>
      <c r="Q17" s="12"/>
    </row>
    <row r="18" spans="1:17" x14ac:dyDescent="0.25">
      <c r="A18" s="14" t="s">
        <v>270</v>
      </c>
      <c r="B18" t="s">
        <v>154</v>
      </c>
      <c r="C18" t="s">
        <v>81</v>
      </c>
      <c r="D18" t="s">
        <v>89</v>
      </c>
      <c r="E18" s="16">
        <v>0.1608</v>
      </c>
      <c r="F18" s="13">
        <v>2745</v>
      </c>
      <c r="G18" s="17">
        <v>0.73684210526315785</v>
      </c>
      <c r="H18" s="19">
        <v>44263</v>
      </c>
      <c r="I18" s="18">
        <v>3000</v>
      </c>
      <c r="J18" s="18">
        <v>0</v>
      </c>
      <c r="Q18" s="12"/>
    </row>
    <row r="19" spans="1:17" x14ac:dyDescent="0.25">
      <c r="A19" s="14" t="s">
        <v>287</v>
      </c>
      <c r="B19" t="s">
        <v>154</v>
      </c>
      <c r="C19" t="s">
        <v>81</v>
      </c>
      <c r="D19" t="s">
        <v>89</v>
      </c>
      <c r="E19" s="13" t="s">
        <v>136</v>
      </c>
      <c r="F19" s="13">
        <v>2617</v>
      </c>
      <c r="G19" s="17">
        <v>1</v>
      </c>
      <c r="H19" s="19">
        <v>45926</v>
      </c>
      <c r="I19" s="18">
        <v>3000</v>
      </c>
      <c r="J19" s="18">
        <v>0</v>
      </c>
      <c r="Q19" s="12"/>
    </row>
    <row r="20" spans="1:17" x14ac:dyDescent="0.25">
      <c r="A20" s="14" t="s">
        <v>317</v>
      </c>
      <c r="B20" t="s">
        <v>156</v>
      </c>
      <c r="C20" t="s">
        <v>86</v>
      </c>
      <c r="D20" t="s">
        <v>89</v>
      </c>
      <c r="E20" s="13" t="s">
        <v>152</v>
      </c>
      <c r="F20" s="13" t="s">
        <v>155</v>
      </c>
      <c r="G20" s="17">
        <v>1</v>
      </c>
      <c r="H20" s="19">
        <v>44095</v>
      </c>
      <c r="I20" s="18">
        <v>3000</v>
      </c>
      <c r="J20" s="18">
        <v>0</v>
      </c>
      <c r="Q20" s="12"/>
    </row>
    <row r="21" spans="1:17" x14ac:dyDescent="0.25">
      <c r="A21" s="14" t="s">
        <v>42</v>
      </c>
      <c r="B21" t="s">
        <v>154</v>
      </c>
      <c r="C21" t="s">
        <v>83</v>
      </c>
      <c r="D21" t="s">
        <v>89</v>
      </c>
      <c r="E21" s="13" t="s">
        <v>148</v>
      </c>
      <c r="F21" s="13">
        <v>2738</v>
      </c>
      <c r="G21" s="17">
        <v>0.65789473684210531</v>
      </c>
      <c r="H21" s="19">
        <v>46583</v>
      </c>
      <c r="I21" s="18">
        <v>3000</v>
      </c>
      <c r="J21" s="18">
        <v>0</v>
      </c>
      <c r="Q21" s="12"/>
    </row>
    <row r="22" spans="1:17" x14ac:dyDescent="0.25">
      <c r="A22" s="14" t="s">
        <v>227</v>
      </c>
      <c r="B22" t="s">
        <v>154</v>
      </c>
      <c r="C22" t="s">
        <v>83</v>
      </c>
      <c r="D22" t="s">
        <v>89</v>
      </c>
      <c r="E22" s="13" t="s">
        <v>232</v>
      </c>
      <c r="F22" s="13">
        <v>2738</v>
      </c>
      <c r="G22" s="17">
        <v>1</v>
      </c>
      <c r="H22" s="19">
        <v>43714</v>
      </c>
      <c r="I22" s="18">
        <v>3000</v>
      </c>
      <c r="J22" s="18">
        <v>0</v>
      </c>
      <c r="Q22" s="12"/>
    </row>
    <row r="23" spans="1:17" x14ac:dyDescent="0.25">
      <c r="A23" s="14" t="s">
        <v>250</v>
      </c>
      <c r="B23" t="s">
        <v>154</v>
      </c>
      <c r="C23" t="s">
        <v>83</v>
      </c>
      <c r="D23" t="s">
        <v>89</v>
      </c>
      <c r="E23" s="13" t="s">
        <v>252</v>
      </c>
      <c r="F23" s="13">
        <v>2630</v>
      </c>
      <c r="G23" s="17">
        <v>0.78947368421052633</v>
      </c>
      <c r="H23" s="19">
        <v>45642</v>
      </c>
      <c r="I23" s="18">
        <v>3000</v>
      </c>
      <c r="J23" s="18">
        <v>0</v>
      </c>
      <c r="Q23" s="12"/>
    </row>
    <row r="24" spans="1:17" x14ac:dyDescent="0.25">
      <c r="A24" s="14" t="s">
        <v>233</v>
      </c>
      <c r="B24" t="s">
        <v>154</v>
      </c>
      <c r="C24" t="s">
        <v>83</v>
      </c>
      <c r="D24" t="s">
        <v>89</v>
      </c>
      <c r="E24" s="13" t="s">
        <v>235</v>
      </c>
      <c r="F24" s="13" t="s">
        <v>110</v>
      </c>
      <c r="G24" s="17">
        <v>0.73684210526315785</v>
      </c>
      <c r="H24" s="19">
        <v>43729</v>
      </c>
      <c r="I24" s="18">
        <v>3000</v>
      </c>
      <c r="J24" s="18">
        <v>0</v>
      </c>
      <c r="Q24" s="12"/>
    </row>
    <row r="25" spans="1:17" x14ac:dyDescent="0.25">
      <c r="A25" s="14" t="s">
        <v>194</v>
      </c>
      <c r="B25" t="s">
        <v>154</v>
      </c>
      <c r="C25" t="s">
        <v>83</v>
      </c>
      <c r="D25" t="s">
        <v>89</v>
      </c>
      <c r="E25" s="13" t="s">
        <v>196</v>
      </c>
      <c r="F25" s="13" t="s">
        <v>110</v>
      </c>
      <c r="G25" s="17">
        <v>1</v>
      </c>
      <c r="H25" s="19">
        <v>43645</v>
      </c>
      <c r="I25" s="18">
        <v>3000</v>
      </c>
      <c r="J25" s="18">
        <v>0</v>
      </c>
      <c r="Q25" s="12"/>
    </row>
    <row r="26" spans="1:17" x14ac:dyDescent="0.25">
      <c r="A26" s="14" t="s">
        <v>229</v>
      </c>
      <c r="B26" t="s">
        <v>154</v>
      </c>
      <c r="C26" t="s">
        <v>83</v>
      </c>
      <c r="D26" t="s">
        <v>89</v>
      </c>
      <c r="E26" s="13" t="s">
        <v>231</v>
      </c>
      <c r="F26" s="13">
        <v>2737</v>
      </c>
      <c r="G26" s="17">
        <v>1</v>
      </c>
      <c r="H26" s="19">
        <v>43714</v>
      </c>
      <c r="I26" s="18">
        <v>3000</v>
      </c>
      <c r="J26" s="18">
        <v>0</v>
      </c>
      <c r="Q26" s="12"/>
    </row>
    <row r="27" spans="1:17" x14ac:dyDescent="0.25">
      <c r="A27" s="14" t="s">
        <v>322</v>
      </c>
      <c r="B27" t="s">
        <v>154</v>
      </c>
      <c r="C27" t="s">
        <v>83</v>
      </c>
      <c r="D27" t="s">
        <v>89</v>
      </c>
      <c r="E27" s="13" t="s">
        <v>324</v>
      </c>
      <c r="F27" s="13" t="s">
        <v>325</v>
      </c>
      <c r="G27" s="17">
        <v>1</v>
      </c>
      <c r="H27" s="19">
        <v>45914</v>
      </c>
      <c r="I27" s="18">
        <v>3000</v>
      </c>
      <c r="J27" s="18">
        <v>0</v>
      </c>
      <c r="Q27" s="12"/>
    </row>
    <row r="28" spans="1:17" x14ac:dyDescent="0.25">
      <c r="A28" s="14" t="s">
        <v>190</v>
      </c>
      <c r="B28" t="s">
        <v>156</v>
      </c>
      <c r="C28" t="s">
        <v>83</v>
      </c>
      <c r="D28" t="s">
        <v>89</v>
      </c>
      <c r="E28" s="13" t="s">
        <v>191</v>
      </c>
      <c r="F28" s="13" t="s">
        <v>155</v>
      </c>
      <c r="G28" s="17">
        <v>0.23684210526315788</v>
      </c>
      <c r="H28" s="19">
        <v>43876</v>
      </c>
      <c r="I28" s="18">
        <v>3000</v>
      </c>
      <c r="J28" s="18">
        <v>0</v>
      </c>
      <c r="Q28" s="12"/>
    </row>
    <row r="29" spans="1:17" x14ac:dyDescent="0.25">
      <c r="A29" s="14" t="s">
        <v>223</v>
      </c>
      <c r="B29" t="s">
        <v>154</v>
      </c>
      <c r="C29" t="s">
        <v>84</v>
      </c>
      <c r="D29" t="s">
        <v>89</v>
      </c>
      <c r="E29" s="16">
        <v>1.9734000000000002E-2</v>
      </c>
      <c r="F29" s="13" t="s">
        <v>116</v>
      </c>
      <c r="G29" s="17">
        <v>1</v>
      </c>
      <c r="H29" s="19">
        <v>45325</v>
      </c>
      <c r="I29" s="18">
        <v>3000</v>
      </c>
      <c r="J29" s="18">
        <v>0</v>
      </c>
      <c r="Q29" s="12"/>
    </row>
    <row r="30" spans="1:17" x14ac:dyDescent="0.25">
      <c r="A30" s="14" t="s">
        <v>36</v>
      </c>
      <c r="B30" t="s">
        <v>154</v>
      </c>
      <c r="C30" t="s">
        <v>84</v>
      </c>
      <c r="D30" t="s">
        <v>89</v>
      </c>
      <c r="E30" s="16">
        <v>9.9180000000000004E-2</v>
      </c>
      <c r="F30" s="13" t="s">
        <v>117</v>
      </c>
      <c r="G30" s="17">
        <v>0.26315789473684209</v>
      </c>
      <c r="H30" s="19">
        <v>45325</v>
      </c>
      <c r="I30" s="18">
        <v>3000</v>
      </c>
      <c r="J30" s="18">
        <v>0</v>
      </c>
      <c r="Q30" s="12"/>
    </row>
    <row r="31" spans="1:17" x14ac:dyDescent="0.25">
      <c r="A31" s="14" t="s">
        <v>315</v>
      </c>
      <c r="B31" t="s">
        <v>156</v>
      </c>
      <c r="C31" t="s">
        <v>84</v>
      </c>
      <c r="D31" t="s">
        <v>89</v>
      </c>
      <c r="E31" s="16">
        <v>0.21002000000000001</v>
      </c>
      <c r="F31" s="13" t="s">
        <v>155</v>
      </c>
      <c r="G31" s="17">
        <v>1</v>
      </c>
      <c r="H31" s="19">
        <v>45183</v>
      </c>
      <c r="I31" s="18">
        <v>3000</v>
      </c>
      <c r="J31" s="18">
        <v>0</v>
      </c>
      <c r="Q31" s="12"/>
    </row>
    <row r="32" spans="1:17" x14ac:dyDescent="0.25">
      <c r="A32" s="14" t="s">
        <v>280</v>
      </c>
      <c r="B32" t="s">
        <v>154</v>
      </c>
      <c r="C32" t="s">
        <v>79</v>
      </c>
      <c r="D32" t="s">
        <v>89</v>
      </c>
      <c r="E32" s="13" t="s">
        <v>282</v>
      </c>
      <c r="F32" s="13" t="s">
        <v>92</v>
      </c>
      <c r="G32" s="17">
        <v>1</v>
      </c>
      <c r="H32" s="19">
        <v>44925</v>
      </c>
      <c r="I32" s="18">
        <v>3000</v>
      </c>
      <c r="J32" s="18">
        <v>0</v>
      </c>
      <c r="Q32" s="12"/>
    </row>
    <row r="33" spans="1:17" x14ac:dyDescent="0.25">
      <c r="A33" s="14" t="s">
        <v>215</v>
      </c>
      <c r="B33" t="s">
        <v>154</v>
      </c>
      <c r="C33" t="s">
        <v>79</v>
      </c>
      <c r="D33" t="s">
        <v>89</v>
      </c>
      <c r="E33" s="13" t="s">
        <v>253</v>
      </c>
      <c r="F33" s="13" t="s">
        <v>103</v>
      </c>
      <c r="G33" s="17">
        <v>0.81578947368421051</v>
      </c>
      <c r="H33" s="19">
        <v>43913</v>
      </c>
      <c r="I33" s="18">
        <v>3000</v>
      </c>
      <c r="J33" s="18">
        <v>0</v>
      </c>
      <c r="Q33" s="12"/>
    </row>
    <row r="34" spans="1:17" x14ac:dyDescent="0.25">
      <c r="A34" s="14" t="s">
        <v>34</v>
      </c>
      <c r="B34" t="s">
        <v>154</v>
      </c>
      <c r="C34" t="s">
        <v>80</v>
      </c>
      <c r="D34" t="s">
        <v>89</v>
      </c>
      <c r="E34" s="13" t="s">
        <v>142</v>
      </c>
      <c r="F34" s="13" t="s">
        <v>114</v>
      </c>
      <c r="G34" s="17">
        <v>0.21052631578947367</v>
      </c>
      <c r="H34" s="19">
        <v>44749</v>
      </c>
      <c r="I34" s="18">
        <v>3000</v>
      </c>
      <c r="J34" s="18">
        <v>0</v>
      </c>
      <c r="Q34" s="12"/>
    </row>
    <row r="35" spans="1:17" x14ac:dyDescent="0.25">
      <c r="A35" s="14" t="s">
        <v>219</v>
      </c>
      <c r="B35" t="s">
        <v>154</v>
      </c>
      <c r="C35" t="s">
        <v>80</v>
      </c>
      <c r="D35" t="s">
        <v>88</v>
      </c>
      <c r="E35" s="13" t="s">
        <v>221</v>
      </c>
      <c r="F35" s="13" t="s">
        <v>222</v>
      </c>
      <c r="G35" s="17">
        <v>0.21052631578947367</v>
      </c>
      <c r="H35" s="19">
        <v>45516</v>
      </c>
      <c r="I35" s="18">
        <v>3000</v>
      </c>
      <c r="J35" s="18">
        <v>0</v>
      </c>
      <c r="Q35" s="12"/>
    </row>
    <row r="36" spans="1:17" x14ac:dyDescent="0.25">
      <c r="A36" s="14" t="s">
        <v>17</v>
      </c>
      <c r="B36" t="s">
        <v>154</v>
      </c>
      <c r="C36" t="s">
        <v>82</v>
      </c>
      <c r="D36" t="s">
        <v>89</v>
      </c>
      <c r="E36" s="13" t="s">
        <v>127</v>
      </c>
      <c r="F36" s="13" t="s">
        <v>98</v>
      </c>
      <c r="G36" s="17">
        <v>0.10526315789473684</v>
      </c>
      <c r="H36" s="19">
        <v>44829</v>
      </c>
      <c r="I36" s="18">
        <v>3000</v>
      </c>
      <c r="J36" s="18">
        <v>0</v>
      </c>
      <c r="Q36" s="12"/>
    </row>
    <row r="37" spans="1:17" x14ac:dyDescent="0.25">
      <c r="A37" s="14" t="s">
        <v>27</v>
      </c>
      <c r="B37" t="s">
        <v>154</v>
      </c>
      <c r="C37" t="s">
        <v>81</v>
      </c>
      <c r="D37" t="s">
        <v>89</v>
      </c>
      <c r="E37" s="16">
        <v>1.9571000000000002E-2</v>
      </c>
      <c r="F37" s="13" t="s">
        <v>108</v>
      </c>
      <c r="G37" s="17">
        <v>0.71052631578947367</v>
      </c>
      <c r="H37" s="19">
        <v>43582</v>
      </c>
      <c r="I37" s="18">
        <v>3000</v>
      </c>
      <c r="J37" s="18">
        <v>0</v>
      </c>
      <c r="Q37" s="12"/>
    </row>
    <row r="38" spans="1:17" x14ac:dyDescent="0.25">
      <c r="A38" s="14" t="s">
        <v>163</v>
      </c>
      <c r="B38" t="s">
        <v>154</v>
      </c>
      <c r="C38" t="s">
        <v>83</v>
      </c>
      <c r="D38" t="s">
        <v>89</v>
      </c>
      <c r="E38" s="13" t="s">
        <v>189</v>
      </c>
      <c r="F38" s="13" t="s">
        <v>165</v>
      </c>
      <c r="G38" s="17">
        <v>0.10526315789473684</v>
      </c>
      <c r="H38" s="19">
        <v>44612</v>
      </c>
      <c r="I38" s="18">
        <v>3000</v>
      </c>
      <c r="J38" s="18">
        <v>0</v>
      </c>
      <c r="Q38" s="12"/>
    </row>
    <row r="39" spans="1:17" x14ac:dyDescent="0.25">
      <c r="A39" s="14" t="s">
        <v>37</v>
      </c>
      <c r="B39" t="s">
        <v>154</v>
      </c>
      <c r="C39" t="s">
        <v>84</v>
      </c>
      <c r="D39" t="s">
        <v>89</v>
      </c>
      <c r="E39" s="16">
        <v>0.20863000000000001</v>
      </c>
      <c r="F39" s="13" t="s">
        <v>118</v>
      </c>
      <c r="G39" s="17">
        <v>0.10526315789473684</v>
      </c>
      <c r="H39" s="19">
        <v>44431</v>
      </c>
      <c r="I39" s="18">
        <v>3000</v>
      </c>
      <c r="J39" s="18">
        <v>0</v>
      </c>
      <c r="Q39" s="12"/>
    </row>
    <row r="40" spans="1:17" x14ac:dyDescent="0.25">
      <c r="A40" s="14" t="s">
        <v>35</v>
      </c>
      <c r="B40" t="s">
        <v>154</v>
      </c>
      <c r="C40" t="s">
        <v>80</v>
      </c>
      <c r="D40" t="s">
        <v>89</v>
      </c>
      <c r="E40" s="13" t="s">
        <v>143</v>
      </c>
      <c r="F40" s="13" t="s">
        <v>115</v>
      </c>
      <c r="G40" s="17">
        <v>0.21052631578947367</v>
      </c>
      <c r="H40" s="20">
        <v>42861</v>
      </c>
      <c r="I40" s="18">
        <v>3000</v>
      </c>
      <c r="J40" s="18">
        <v>0</v>
      </c>
      <c r="Q40" s="12"/>
    </row>
    <row r="41" spans="1:17" x14ac:dyDescent="0.25">
      <c r="A41" s="14" t="s">
        <v>14</v>
      </c>
      <c r="B41" t="s">
        <v>154</v>
      </c>
      <c r="C41" t="s">
        <v>80</v>
      </c>
      <c r="D41" t="s">
        <v>88</v>
      </c>
      <c r="E41" s="13" t="s">
        <v>125</v>
      </c>
      <c r="F41" s="13" t="s">
        <v>95</v>
      </c>
      <c r="G41" s="17">
        <v>0.21052631578947367</v>
      </c>
      <c r="H41" s="20">
        <v>42964</v>
      </c>
      <c r="I41" s="18">
        <v>3000</v>
      </c>
      <c r="J41" s="18">
        <v>0</v>
      </c>
      <c r="Q41" s="12"/>
    </row>
    <row r="42" spans="1:17" x14ac:dyDescent="0.25">
      <c r="A42" s="14" t="s">
        <v>25</v>
      </c>
      <c r="B42" t="s">
        <v>154</v>
      </c>
      <c r="C42" t="s">
        <v>82</v>
      </c>
      <c r="D42" t="s">
        <v>88</v>
      </c>
      <c r="E42" s="13" t="s">
        <v>135</v>
      </c>
      <c r="F42" s="13" t="s">
        <v>106</v>
      </c>
      <c r="G42" s="17">
        <v>0.27631578947368424</v>
      </c>
      <c r="H42" s="20">
        <v>42948</v>
      </c>
      <c r="I42" s="18">
        <v>3000</v>
      </c>
      <c r="J42" s="18">
        <v>0</v>
      </c>
      <c r="Q42" s="12"/>
    </row>
    <row r="43" spans="1:17" x14ac:dyDescent="0.25">
      <c r="A43" s="14" t="s">
        <v>32</v>
      </c>
      <c r="B43" t="s">
        <v>154</v>
      </c>
      <c r="C43" t="s">
        <v>82</v>
      </c>
      <c r="D43" t="s">
        <v>89</v>
      </c>
      <c r="E43" s="13" t="s">
        <v>140</v>
      </c>
      <c r="F43" s="13" t="s">
        <v>112</v>
      </c>
      <c r="G43" s="17">
        <v>0.81578947368421051</v>
      </c>
      <c r="H43" s="20">
        <v>43185</v>
      </c>
      <c r="I43" s="18">
        <v>3000</v>
      </c>
      <c r="J43" s="18">
        <v>0</v>
      </c>
      <c r="Q43" s="12"/>
    </row>
    <row r="44" spans="1:17" x14ac:dyDescent="0.25">
      <c r="A44" s="14" t="s">
        <v>33</v>
      </c>
      <c r="B44" t="s">
        <v>154</v>
      </c>
      <c r="C44" t="s">
        <v>82</v>
      </c>
      <c r="D44" t="s">
        <v>89</v>
      </c>
      <c r="E44" s="13" t="s">
        <v>141</v>
      </c>
      <c r="F44" s="13" t="s">
        <v>113</v>
      </c>
      <c r="G44" s="17">
        <v>0</v>
      </c>
      <c r="H44" s="20">
        <v>43197</v>
      </c>
      <c r="I44" s="18">
        <v>3000</v>
      </c>
      <c r="J44" s="18">
        <v>0</v>
      </c>
      <c r="Q44" s="12"/>
    </row>
    <row r="45" spans="1:17" x14ac:dyDescent="0.25">
      <c r="A45" s="14" t="s">
        <v>28</v>
      </c>
      <c r="B45" t="s">
        <v>154</v>
      </c>
      <c r="C45" t="s">
        <v>81</v>
      </c>
      <c r="D45" t="s">
        <v>89</v>
      </c>
      <c r="E45" s="16">
        <v>2.938E-2</v>
      </c>
      <c r="F45" s="13" t="s">
        <v>109</v>
      </c>
      <c r="G45" s="17">
        <v>0.36842105263157893</v>
      </c>
      <c r="H45" s="20">
        <v>43253</v>
      </c>
      <c r="I45" s="18">
        <v>3000</v>
      </c>
      <c r="J45" s="18">
        <v>0</v>
      </c>
      <c r="Q45" s="12"/>
    </row>
    <row r="46" spans="1:17" x14ac:dyDescent="0.25">
      <c r="A46" s="14" t="s">
        <v>157</v>
      </c>
      <c r="B46" t="s">
        <v>156</v>
      </c>
      <c r="C46" t="s">
        <v>81</v>
      </c>
      <c r="D46" t="s">
        <v>89</v>
      </c>
      <c r="E46" s="16">
        <v>0.11005</v>
      </c>
      <c r="F46" s="13" t="s">
        <v>155</v>
      </c>
      <c r="G46" s="17">
        <v>0</v>
      </c>
      <c r="H46" s="19">
        <v>44508</v>
      </c>
      <c r="I46" s="18">
        <v>3000</v>
      </c>
      <c r="J46" s="18">
        <v>0</v>
      </c>
      <c r="Q46" s="12"/>
    </row>
    <row r="47" spans="1:17" x14ac:dyDescent="0.25">
      <c r="A47" s="14" t="s">
        <v>26</v>
      </c>
      <c r="B47" t="s">
        <v>154</v>
      </c>
      <c r="C47" t="s">
        <v>81</v>
      </c>
      <c r="D47" t="s">
        <v>89</v>
      </c>
      <c r="E47" s="13" t="s">
        <v>136</v>
      </c>
      <c r="F47" s="13">
        <v>2617</v>
      </c>
      <c r="G47" s="17">
        <v>0.34210526315789475</v>
      </c>
      <c r="H47" s="20">
        <v>43237</v>
      </c>
      <c r="I47" s="18">
        <v>3000</v>
      </c>
      <c r="J47" s="18">
        <v>0</v>
      </c>
      <c r="Q47" s="12"/>
    </row>
    <row r="48" spans="1:17" x14ac:dyDescent="0.25">
      <c r="A48" s="14">
        <v>5604618</v>
      </c>
      <c r="B48" t="s">
        <v>156</v>
      </c>
      <c r="C48" t="s">
        <v>86</v>
      </c>
      <c r="D48" t="s">
        <v>89</v>
      </c>
      <c r="E48" s="13" t="s">
        <v>152</v>
      </c>
      <c r="F48" s="13" t="s">
        <v>155</v>
      </c>
      <c r="G48" s="17">
        <v>0</v>
      </c>
      <c r="H48" s="20">
        <v>43167</v>
      </c>
      <c r="I48" s="18">
        <v>3000</v>
      </c>
      <c r="J48" s="18">
        <v>0</v>
      </c>
      <c r="Q48" s="12"/>
    </row>
    <row r="49" spans="1:17" x14ac:dyDescent="0.25">
      <c r="A49" s="14" t="s">
        <v>39</v>
      </c>
      <c r="B49" t="s">
        <v>154</v>
      </c>
      <c r="C49" t="s">
        <v>86</v>
      </c>
      <c r="D49" t="s">
        <v>89</v>
      </c>
      <c r="E49" s="13" t="s">
        <v>145</v>
      </c>
      <c r="F49" s="13">
        <v>2731</v>
      </c>
      <c r="G49" s="17">
        <v>0.76315789473684215</v>
      </c>
      <c r="H49" s="20">
        <v>43480</v>
      </c>
      <c r="I49" s="18">
        <v>3000</v>
      </c>
      <c r="J49" s="18">
        <v>0</v>
      </c>
      <c r="Q49" s="12"/>
    </row>
    <row r="50" spans="1:17" x14ac:dyDescent="0.25">
      <c r="A50" s="14" t="s">
        <v>31</v>
      </c>
      <c r="B50" t="s">
        <v>154</v>
      </c>
      <c r="C50" t="s">
        <v>83</v>
      </c>
      <c r="D50" t="s">
        <v>89</v>
      </c>
      <c r="E50" s="13" t="s">
        <v>139</v>
      </c>
      <c r="F50" s="13">
        <v>2630</v>
      </c>
      <c r="G50" s="17">
        <v>0</v>
      </c>
      <c r="H50" s="20">
        <v>43220</v>
      </c>
      <c r="I50" s="18">
        <v>3000</v>
      </c>
      <c r="J50" s="18">
        <v>0</v>
      </c>
      <c r="Q50" s="12"/>
    </row>
    <row r="51" spans="1:17" x14ac:dyDescent="0.25">
      <c r="A51" s="14" t="s">
        <v>29</v>
      </c>
      <c r="B51" t="s">
        <v>154</v>
      </c>
      <c r="C51" t="s">
        <v>83</v>
      </c>
      <c r="D51" t="s">
        <v>89</v>
      </c>
      <c r="E51" s="13" t="s">
        <v>137</v>
      </c>
      <c r="F51" s="13" t="s">
        <v>110</v>
      </c>
      <c r="G51" s="17">
        <v>5.2631578947368418E-2</v>
      </c>
      <c r="H51" s="20">
        <v>43308</v>
      </c>
      <c r="I51" s="18">
        <v>3000</v>
      </c>
      <c r="J51" s="18">
        <v>0</v>
      </c>
      <c r="Q51" s="12"/>
    </row>
    <row r="52" spans="1:17" x14ac:dyDescent="0.25">
      <c r="A52" s="14" t="s">
        <v>247</v>
      </c>
      <c r="B52" t="s">
        <v>154</v>
      </c>
      <c r="C52" t="s">
        <v>83</v>
      </c>
      <c r="D52" t="s">
        <v>89</v>
      </c>
      <c r="E52" s="13" t="s">
        <v>249</v>
      </c>
      <c r="F52" s="13">
        <v>2735</v>
      </c>
      <c r="G52" s="17">
        <v>0.73684210526315785</v>
      </c>
      <c r="H52" s="20">
        <v>43474</v>
      </c>
      <c r="I52" s="18">
        <v>3000</v>
      </c>
      <c r="J52" s="18">
        <v>0</v>
      </c>
      <c r="Q52" s="12"/>
    </row>
    <row r="53" spans="1:17" x14ac:dyDescent="0.25">
      <c r="A53" s="14" t="s">
        <v>273</v>
      </c>
      <c r="B53" t="s">
        <v>156</v>
      </c>
      <c r="C53" t="s">
        <v>87</v>
      </c>
      <c r="D53" t="s">
        <v>88</v>
      </c>
      <c r="E53" s="13" t="s">
        <v>274</v>
      </c>
      <c r="F53" s="13" t="s">
        <v>155</v>
      </c>
      <c r="G53" s="17">
        <v>1</v>
      </c>
      <c r="H53" s="20">
        <v>43502</v>
      </c>
      <c r="I53" s="18">
        <v>3000</v>
      </c>
      <c r="J53" s="18">
        <v>0</v>
      </c>
      <c r="Q53" s="12"/>
    </row>
    <row r="54" spans="1:17" x14ac:dyDescent="0.25">
      <c r="A54" s="14">
        <v>5605046</v>
      </c>
      <c r="B54" t="s">
        <v>156</v>
      </c>
      <c r="C54" t="s">
        <v>87</v>
      </c>
      <c r="D54" t="s">
        <v>88</v>
      </c>
      <c r="E54" s="13" t="s">
        <v>262</v>
      </c>
      <c r="F54" s="13" t="s">
        <v>155</v>
      </c>
      <c r="G54" s="17">
        <v>0</v>
      </c>
      <c r="H54" s="20">
        <v>43056</v>
      </c>
      <c r="I54" s="18">
        <v>3000</v>
      </c>
      <c r="J54" s="18">
        <v>0</v>
      </c>
    </row>
    <row r="55" spans="1:17" x14ac:dyDescent="0.25">
      <c r="A55" s="14" t="s">
        <v>272</v>
      </c>
      <c r="B55" t="s">
        <v>156</v>
      </c>
      <c r="C55" t="s">
        <v>87</v>
      </c>
      <c r="D55" t="s">
        <v>88</v>
      </c>
      <c r="E55" s="13" t="s">
        <v>152</v>
      </c>
      <c r="F55" s="13" t="s">
        <v>155</v>
      </c>
      <c r="G55" s="17">
        <v>0.47368421052631576</v>
      </c>
      <c r="H55" s="20">
        <v>43502</v>
      </c>
      <c r="I55" s="18">
        <v>3000</v>
      </c>
      <c r="J55" s="18">
        <v>0</v>
      </c>
      <c r="Q55" s="12"/>
    </row>
    <row r="56" spans="1:17" x14ac:dyDescent="0.25">
      <c r="A56" s="14">
        <v>5603968</v>
      </c>
      <c r="B56" t="s">
        <v>156</v>
      </c>
      <c r="C56" t="s">
        <v>87</v>
      </c>
      <c r="D56" t="s">
        <v>88</v>
      </c>
      <c r="E56" s="13" t="s">
        <v>149</v>
      </c>
      <c r="F56" s="13" t="s">
        <v>155</v>
      </c>
      <c r="G56" s="17">
        <v>0</v>
      </c>
      <c r="H56" s="20">
        <v>43169</v>
      </c>
      <c r="I56" s="18">
        <v>3000</v>
      </c>
      <c r="J56" s="18">
        <v>0</v>
      </c>
      <c r="Q56" s="12"/>
    </row>
    <row r="57" spans="1:17" x14ac:dyDescent="0.25">
      <c r="A57" s="14" t="s">
        <v>11</v>
      </c>
      <c r="B57" t="s">
        <v>154</v>
      </c>
      <c r="C57" t="s">
        <v>79</v>
      </c>
      <c r="D57" t="s">
        <v>89</v>
      </c>
      <c r="E57" s="13" t="s">
        <v>122</v>
      </c>
      <c r="F57" s="13" t="s">
        <v>92</v>
      </c>
      <c r="G57" s="17">
        <v>0.92105263157894735</v>
      </c>
      <c r="H57" s="20">
        <v>42572</v>
      </c>
      <c r="I57" s="18">
        <v>3000</v>
      </c>
      <c r="J57" s="18">
        <v>0</v>
      </c>
      <c r="Q57" s="12"/>
    </row>
    <row r="58" spans="1:17" x14ac:dyDescent="0.25">
      <c r="A58" s="14" t="s">
        <v>12</v>
      </c>
      <c r="B58" t="s">
        <v>154</v>
      </c>
      <c r="C58" t="s">
        <v>79</v>
      </c>
      <c r="D58" t="s">
        <v>89</v>
      </c>
      <c r="E58" s="13" t="s">
        <v>123</v>
      </c>
      <c r="F58" s="13" t="s">
        <v>93</v>
      </c>
      <c r="G58" s="17">
        <v>0.36842105263157893</v>
      </c>
      <c r="H58" s="20">
        <v>43227</v>
      </c>
      <c r="I58" s="18">
        <v>3000</v>
      </c>
      <c r="J58" s="18">
        <v>0</v>
      </c>
      <c r="Q58" s="12"/>
    </row>
    <row r="59" spans="1:17" x14ac:dyDescent="0.25">
      <c r="A59" s="14" t="s">
        <v>24</v>
      </c>
      <c r="B59" t="s">
        <v>154</v>
      </c>
      <c r="C59" t="s">
        <v>79</v>
      </c>
      <c r="D59" t="s">
        <v>89</v>
      </c>
      <c r="E59" s="13" t="s">
        <v>134</v>
      </c>
      <c r="F59" s="13" t="s">
        <v>105</v>
      </c>
      <c r="G59" s="17">
        <v>0.71052631578947367</v>
      </c>
      <c r="H59" s="20">
        <v>43227</v>
      </c>
      <c r="I59" s="18">
        <v>3000</v>
      </c>
      <c r="J59" s="18">
        <v>0</v>
      </c>
      <c r="Q59" s="12"/>
    </row>
    <row r="60" spans="1:17" x14ac:dyDescent="0.25">
      <c r="A60" s="14" t="s">
        <v>199</v>
      </c>
      <c r="B60" t="s">
        <v>154</v>
      </c>
      <c r="C60" t="s">
        <v>79</v>
      </c>
      <c r="D60" t="s">
        <v>89</v>
      </c>
      <c r="E60" s="13" t="s">
        <v>121</v>
      </c>
      <c r="F60" s="13" t="s">
        <v>91</v>
      </c>
      <c r="G60" s="17">
        <v>0</v>
      </c>
      <c r="H60" s="19">
        <v>43731</v>
      </c>
      <c r="I60" s="18">
        <v>3000</v>
      </c>
      <c r="J60" s="18">
        <v>0</v>
      </c>
      <c r="Q60" s="12"/>
    </row>
    <row r="61" spans="1:17" x14ac:dyDescent="0.25">
      <c r="A61" s="14" t="s">
        <v>217</v>
      </c>
      <c r="B61" t="s">
        <v>154</v>
      </c>
      <c r="C61" t="s">
        <v>79</v>
      </c>
      <c r="D61" t="s">
        <v>89</v>
      </c>
      <c r="E61" s="13" t="s">
        <v>133</v>
      </c>
      <c r="F61" s="13" t="s">
        <v>104</v>
      </c>
      <c r="G61" s="17">
        <v>0.71052631578947367</v>
      </c>
      <c r="H61" s="20">
        <v>43470</v>
      </c>
      <c r="I61" s="18">
        <v>3000</v>
      </c>
      <c r="J61" s="18">
        <v>0</v>
      </c>
      <c r="Q61" s="12"/>
    </row>
    <row r="62" spans="1:17" x14ac:dyDescent="0.25">
      <c r="Q62" s="12"/>
    </row>
    <row r="63" spans="1:17" x14ac:dyDescent="0.25">
      <c r="A63" s="14"/>
      <c r="E63" s="14"/>
      <c r="F63" s="13"/>
    </row>
    <row r="64" spans="1:17" x14ac:dyDescent="0.25">
      <c r="A64" s="14"/>
      <c r="E64" s="14"/>
      <c r="F64" s="13"/>
    </row>
    <row r="65" spans="1:6" x14ac:dyDescent="0.25">
      <c r="A65" s="14"/>
      <c r="E65" s="13"/>
      <c r="F65" s="13"/>
    </row>
    <row r="66" spans="1:6" x14ac:dyDescent="0.25">
      <c r="A66" s="14"/>
      <c r="E66" s="13"/>
      <c r="F66" s="13"/>
    </row>
    <row r="67" spans="1:6" x14ac:dyDescent="0.25">
      <c r="A67" s="14"/>
      <c r="E67" s="13"/>
      <c r="F67" s="13"/>
    </row>
    <row r="68" spans="1:6" x14ac:dyDescent="0.25">
      <c r="A68" s="14"/>
      <c r="E68" s="13"/>
      <c r="F68" s="13"/>
    </row>
    <row r="69" spans="1:6" x14ac:dyDescent="0.25">
      <c r="A69" s="14"/>
      <c r="E69" s="13"/>
      <c r="F69" s="13"/>
    </row>
    <row r="70" spans="1:6" x14ac:dyDescent="0.25">
      <c r="A70" s="14"/>
      <c r="E70" s="13"/>
      <c r="F70" s="13"/>
    </row>
    <row r="71" spans="1:6" x14ac:dyDescent="0.25">
      <c r="A71" s="14"/>
      <c r="E71" s="14"/>
      <c r="F71" s="13"/>
    </row>
    <row r="72" spans="1:6" x14ac:dyDescent="0.25">
      <c r="A72" s="14"/>
      <c r="E72" s="13"/>
      <c r="F72" s="13"/>
    </row>
    <row r="73" spans="1:6" x14ac:dyDescent="0.25">
      <c r="A73" s="14"/>
      <c r="E73" s="13"/>
      <c r="F73" s="13"/>
    </row>
    <row r="74" spans="1:6" x14ac:dyDescent="0.25">
      <c r="A74" s="14"/>
      <c r="E74" s="13"/>
      <c r="F74" s="13"/>
    </row>
    <row r="75" spans="1:6" x14ac:dyDescent="0.25">
      <c r="A75" s="14"/>
      <c r="E75" s="13"/>
      <c r="F75" s="13"/>
    </row>
    <row r="76" spans="1:6" x14ac:dyDescent="0.25">
      <c r="A76" s="14"/>
      <c r="E76" s="13"/>
      <c r="F76" s="13"/>
    </row>
    <row r="77" spans="1:6" x14ac:dyDescent="0.25">
      <c r="A77" s="14"/>
      <c r="E77" s="13"/>
      <c r="F77" s="13"/>
    </row>
    <row r="78" spans="1:6" x14ac:dyDescent="0.25">
      <c r="A78" s="14"/>
      <c r="E78" s="13"/>
      <c r="F78" s="13"/>
    </row>
    <row r="79" spans="1:6" x14ac:dyDescent="0.25">
      <c r="A79" s="14"/>
      <c r="E79" s="14"/>
      <c r="F79" s="13"/>
    </row>
    <row r="80" spans="1:6" x14ac:dyDescent="0.25">
      <c r="A80" s="14"/>
      <c r="E80" s="13"/>
      <c r="F80" s="13"/>
    </row>
    <row r="81" spans="1:6" x14ac:dyDescent="0.25">
      <c r="A81" s="14"/>
      <c r="E81" s="13"/>
      <c r="F81" s="13"/>
    </row>
    <row r="82" spans="1:6" x14ac:dyDescent="0.25">
      <c r="A82" s="14"/>
      <c r="E82" s="14"/>
      <c r="F82" s="13"/>
    </row>
    <row r="83" spans="1:6" x14ac:dyDescent="0.25">
      <c r="A83" s="14"/>
      <c r="E83" s="13"/>
      <c r="F83" s="13"/>
    </row>
    <row r="84" spans="1:6" x14ac:dyDescent="0.25">
      <c r="A84" s="14"/>
      <c r="E84" s="14"/>
      <c r="F84" s="13"/>
    </row>
    <row r="85" spans="1:6" x14ac:dyDescent="0.25">
      <c r="A85" s="14"/>
      <c r="E85" s="14"/>
      <c r="F85" s="13"/>
    </row>
    <row r="86" spans="1:6" x14ac:dyDescent="0.25">
      <c r="A86" s="14"/>
      <c r="E86" s="14"/>
      <c r="F86" s="13"/>
    </row>
    <row r="87" spans="1:6" x14ac:dyDescent="0.25">
      <c r="A87" s="14"/>
      <c r="E87" s="14"/>
      <c r="F87" s="13"/>
    </row>
    <row r="88" spans="1:6" x14ac:dyDescent="0.25">
      <c r="A88" s="14"/>
      <c r="E88" s="14"/>
      <c r="F88" s="13"/>
    </row>
    <row r="89" spans="1:6" x14ac:dyDescent="0.25">
      <c r="A89" s="14"/>
      <c r="E89" s="14"/>
      <c r="F89" s="13"/>
    </row>
    <row r="90" spans="1:6" x14ac:dyDescent="0.25">
      <c r="A90" s="14"/>
      <c r="E90" s="14"/>
      <c r="F90" s="13"/>
    </row>
    <row r="91" spans="1:6" x14ac:dyDescent="0.25">
      <c r="A91" s="14"/>
      <c r="E91" s="14"/>
      <c r="F91" s="13"/>
    </row>
    <row r="92" spans="1:6" x14ac:dyDescent="0.25">
      <c r="A92" s="14"/>
      <c r="E92" s="14"/>
      <c r="F92" s="13"/>
    </row>
    <row r="93" spans="1:6" x14ac:dyDescent="0.25">
      <c r="A93" s="14"/>
      <c r="E93" s="14"/>
      <c r="F93" s="13"/>
    </row>
    <row r="94" spans="1:6" x14ac:dyDescent="0.25">
      <c r="A94" s="14"/>
      <c r="E94" s="14"/>
      <c r="F94" s="13"/>
    </row>
    <row r="95" spans="1:6" x14ac:dyDescent="0.25">
      <c r="A95" s="14"/>
      <c r="E95" s="14"/>
      <c r="F95" s="13"/>
    </row>
    <row r="96" spans="1:6" x14ac:dyDescent="0.25">
      <c r="A96" s="14"/>
      <c r="E96" s="14"/>
      <c r="F96" s="13"/>
    </row>
    <row r="97" spans="1:6" x14ac:dyDescent="0.25">
      <c r="A97" s="14"/>
      <c r="E97" s="14"/>
      <c r="F97" s="13"/>
    </row>
    <row r="98" spans="1:6" x14ac:dyDescent="0.25">
      <c r="A98" s="14"/>
      <c r="E98" s="14"/>
      <c r="F98" s="13"/>
    </row>
    <row r="99" spans="1:6" x14ac:dyDescent="0.25">
      <c r="A99" s="14"/>
      <c r="E99" s="14"/>
      <c r="F99" s="13"/>
    </row>
    <row r="100" spans="1:6" x14ac:dyDescent="0.25">
      <c r="A100" s="14"/>
      <c r="E100" s="14"/>
      <c r="F100" s="13"/>
    </row>
    <row r="101" spans="1:6" x14ac:dyDescent="0.25">
      <c r="A101" s="14"/>
      <c r="E101" s="14"/>
      <c r="F101" s="13"/>
    </row>
    <row r="102" spans="1:6" x14ac:dyDescent="0.25">
      <c r="A102" s="14"/>
      <c r="E102" s="14"/>
      <c r="F102" s="13"/>
    </row>
    <row r="103" spans="1:6" x14ac:dyDescent="0.25">
      <c r="A103" s="14"/>
      <c r="E103" s="14"/>
      <c r="F103" s="13"/>
    </row>
    <row r="104" spans="1:6" x14ac:dyDescent="0.25">
      <c r="A104" s="14"/>
      <c r="E104" s="14"/>
      <c r="F104" s="13"/>
    </row>
    <row r="105" spans="1:6" x14ac:dyDescent="0.25">
      <c r="A105" s="14"/>
      <c r="E105" s="14"/>
      <c r="F105" s="13"/>
    </row>
    <row r="106" spans="1:6" x14ac:dyDescent="0.25">
      <c r="A106" s="14"/>
      <c r="E106" s="14"/>
      <c r="F106" s="13"/>
    </row>
    <row r="107" spans="1:6" x14ac:dyDescent="0.25">
      <c r="A107" s="14"/>
      <c r="E107" s="14"/>
      <c r="F107" s="13"/>
    </row>
    <row r="108" spans="1:6" x14ac:dyDescent="0.25">
      <c r="A108" s="14"/>
      <c r="E108" s="14"/>
      <c r="F108" s="13"/>
    </row>
    <row r="109" spans="1:6" x14ac:dyDescent="0.25">
      <c r="A109" s="14"/>
      <c r="E109" s="14"/>
      <c r="F109" s="13"/>
    </row>
    <row r="110" spans="1:6" x14ac:dyDescent="0.25">
      <c r="A110" s="14"/>
      <c r="E110" s="14"/>
      <c r="F110" s="13"/>
    </row>
    <row r="111" spans="1:6" x14ac:dyDescent="0.25">
      <c r="A111" s="14"/>
      <c r="E111" s="14"/>
      <c r="F111" s="13"/>
    </row>
    <row r="112" spans="1:6" x14ac:dyDescent="0.25">
      <c r="A112" s="14"/>
      <c r="E112" s="14"/>
      <c r="F112" s="13"/>
    </row>
    <row r="113" spans="1:6" x14ac:dyDescent="0.25">
      <c r="A113" s="14"/>
      <c r="E113" s="14"/>
      <c r="F113" s="13"/>
    </row>
    <row r="114" spans="1:6" x14ac:dyDescent="0.25">
      <c r="A114" s="14"/>
      <c r="E114" s="14"/>
      <c r="F114" s="13"/>
    </row>
    <row r="115" spans="1:6" x14ac:dyDescent="0.25">
      <c r="A115" s="14"/>
      <c r="E115" s="14"/>
      <c r="F115" s="13"/>
    </row>
    <row r="116" spans="1:6" x14ac:dyDescent="0.25">
      <c r="A116" s="14"/>
      <c r="E116" s="14"/>
      <c r="F116" s="13"/>
    </row>
    <row r="117" spans="1:6" x14ac:dyDescent="0.25">
      <c r="A117" s="14"/>
      <c r="E117" s="14"/>
      <c r="F117" s="13"/>
    </row>
    <row r="118" spans="1:6" x14ac:dyDescent="0.25">
      <c r="A118" s="14"/>
      <c r="E118" s="14"/>
      <c r="F118" s="13"/>
    </row>
    <row r="119" spans="1:6" x14ac:dyDescent="0.25">
      <c r="A119" s="14"/>
      <c r="E119" s="14"/>
      <c r="F119" s="13"/>
    </row>
    <row r="120" spans="1:6" x14ac:dyDescent="0.25">
      <c r="A120" s="14"/>
      <c r="E120" s="14"/>
      <c r="F120" s="13"/>
    </row>
    <row r="121" spans="1:6" x14ac:dyDescent="0.25">
      <c r="A121" s="14"/>
      <c r="E121" s="14"/>
      <c r="F121" s="13"/>
    </row>
    <row r="122" spans="1:6" x14ac:dyDescent="0.25">
      <c r="A122" s="14"/>
      <c r="E122" s="14"/>
      <c r="F122" s="13"/>
    </row>
    <row r="123" spans="1:6" x14ac:dyDescent="0.25">
      <c r="A123" s="14"/>
      <c r="E123" s="14"/>
      <c r="F123" s="13"/>
    </row>
    <row r="124" spans="1:6" x14ac:dyDescent="0.25">
      <c r="A124" s="14"/>
      <c r="E124" s="14"/>
      <c r="F124" s="13"/>
    </row>
  </sheetData>
  <autoFilter ref="C1:C124"/>
  <sortState ref="A2:J124">
    <sortCondition ref="C1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U64"/>
  <sheetViews>
    <sheetView topLeftCell="A40" workbookViewId="0">
      <selection activeCell="B21" sqref="B21"/>
    </sheetView>
  </sheetViews>
  <sheetFormatPr defaultColWidth="8.85546875" defaultRowHeight="15" x14ac:dyDescent="0.25"/>
  <cols>
    <col min="1" max="1" width="12.7109375" style="23" bestFit="1" customWidth="1"/>
    <col min="2" max="2" width="5" style="23" bestFit="1" customWidth="1"/>
    <col min="3" max="3" width="10.42578125" style="23" bestFit="1" customWidth="1"/>
    <col min="4" max="4" width="7.42578125" style="23" bestFit="1" customWidth="1"/>
    <col min="5" max="5" width="12.5703125" style="23" bestFit="1" customWidth="1"/>
    <col min="6" max="6" width="9.5703125" style="23" customWidth="1"/>
    <col min="7" max="7" width="8.28515625" style="23" bestFit="1" customWidth="1"/>
    <col min="8" max="9" width="12.140625" style="23" bestFit="1" customWidth="1"/>
    <col min="10" max="10" width="12" style="23" customWidth="1"/>
    <col min="11" max="12" width="10.7109375" style="23" bestFit="1" customWidth="1"/>
    <col min="13" max="13" width="12.140625" style="23" hidden="1" customWidth="1"/>
    <col min="14" max="14" width="10.140625" style="23" hidden="1" customWidth="1"/>
    <col min="15" max="19" width="0" style="23" hidden="1" customWidth="1"/>
    <col min="20" max="25" width="8.85546875" style="23"/>
    <col min="26" max="26" width="10.5703125" style="23" bestFit="1" customWidth="1"/>
    <col min="27" max="16384" width="8.85546875" style="23"/>
  </cols>
  <sheetData>
    <row r="1" spans="1:21" ht="51" x14ac:dyDescent="0.25">
      <c r="A1" s="21" t="s">
        <v>1</v>
      </c>
      <c r="B1" s="21" t="s">
        <v>5</v>
      </c>
      <c r="C1" s="21" t="s">
        <v>6</v>
      </c>
      <c r="D1" s="21" t="s">
        <v>7</v>
      </c>
      <c r="E1" s="21" t="s">
        <v>8</v>
      </c>
      <c r="F1" s="21" t="s">
        <v>9</v>
      </c>
      <c r="G1" s="21" t="s">
        <v>263</v>
      </c>
      <c r="H1" s="22" t="s">
        <v>330</v>
      </c>
      <c r="I1" s="22" t="s">
        <v>331</v>
      </c>
      <c r="J1" s="22" t="s">
        <v>332</v>
      </c>
      <c r="K1" s="22" t="s">
        <v>333</v>
      </c>
      <c r="L1" s="22" t="s">
        <v>334</v>
      </c>
      <c r="M1" s="21" t="s">
        <v>1</v>
      </c>
      <c r="N1" s="21" t="s">
        <v>5</v>
      </c>
      <c r="O1" s="21" t="s">
        <v>6</v>
      </c>
      <c r="P1" s="21" t="s">
        <v>7</v>
      </c>
      <c r="Q1" s="21" t="s">
        <v>8</v>
      </c>
      <c r="R1" s="21" t="s">
        <v>9</v>
      </c>
      <c r="S1" s="21" t="s">
        <v>263</v>
      </c>
      <c r="T1" s="21" t="s">
        <v>335</v>
      </c>
    </row>
    <row r="2" spans="1:21" x14ac:dyDescent="0.25">
      <c r="A2" s="24" t="s">
        <v>34</v>
      </c>
      <c r="B2" s="25" t="s">
        <v>154</v>
      </c>
      <c r="C2" s="25" t="s">
        <v>80</v>
      </c>
      <c r="D2" s="25" t="s">
        <v>89</v>
      </c>
      <c r="E2" s="26" t="s">
        <v>142</v>
      </c>
      <c r="F2" s="26" t="s">
        <v>114</v>
      </c>
      <c r="G2" s="17">
        <v>0.21052631578947367</v>
      </c>
      <c r="H2" s="27">
        <v>2551</v>
      </c>
      <c r="I2" s="28">
        <v>537.05263157894728</v>
      </c>
      <c r="J2" s="29">
        <f>$H$2*$G$2</f>
        <v>537.05263157894728</v>
      </c>
      <c r="K2" s="29">
        <f>I2-J2</f>
        <v>0</v>
      </c>
      <c r="L2" s="30">
        <v>44749</v>
      </c>
      <c r="M2" s="14" t="s">
        <v>34</v>
      </c>
      <c r="N2" s="8" t="s">
        <v>154</v>
      </c>
      <c r="O2" s="8" t="s">
        <v>80</v>
      </c>
      <c r="P2" s="8" t="s">
        <v>89</v>
      </c>
      <c r="Q2" s="13" t="s">
        <v>142</v>
      </c>
      <c r="R2" s="13" t="s">
        <v>114</v>
      </c>
      <c r="S2" s="17">
        <v>0.36842105263157893</v>
      </c>
    </row>
    <row r="3" spans="1:21" x14ac:dyDescent="0.25">
      <c r="A3" s="24" t="s">
        <v>35</v>
      </c>
      <c r="B3" s="25" t="s">
        <v>154</v>
      </c>
      <c r="C3" s="25" t="s">
        <v>80</v>
      </c>
      <c r="D3" s="25" t="s">
        <v>89</v>
      </c>
      <c r="E3" s="26" t="s">
        <v>143</v>
      </c>
      <c r="F3" s="26" t="s">
        <v>115</v>
      </c>
      <c r="G3" s="17">
        <v>0.21052631578947367</v>
      </c>
      <c r="H3" s="27">
        <v>2569</v>
      </c>
      <c r="I3" s="28">
        <v>540.84210526315792</v>
      </c>
      <c r="J3" s="29">
        <f>H3*G3</f>
        <v>540.84210526315792</v>
      </c>
      <c r="K3" s="29">
        <f>I3-J3</f>
        <v>0</v>
      </c>
      <c r="L3" s="31">
        <v>42861</v>
      </c>
      <c r="M3" s="14" t="s">
        <v>35</v>
      </c>
      <c r="N3" s="8" t="s">
        <v>154</v>
      </c>
      <c r="O3" s="8" t="s">
        <v>80</v>
      </c>
      <c r="P3" s="8" t="s">
        <v>89</v>
      </c>
      <c r="Q3" s="13" t="s">
        <v>143</v>
      </c>
      <c r="R3" s="13" t="s">
        <v>115</v>
      </c>
      <c r="S3" s="17">
        <v>0.21052631578947367</v>
      </c>
    </row>
    <row r="4" spans="1:21" x14ac:dyDescent="0.25">
      <c r="A4" s="24" t="s">
        <v>13</v>
      </c>
      <c r="B4" s="25" t="s">
        <v>154</v>
      </c>
      <c r="C4" s="25" t="s">
        <v>80</v>
      </c>
      <c r="D4" s="25" t="s">
        <v>88</v>
      </c>
      <c r="E4" s="26" t="s">
        <v>124</v>
      </c>
      <c r="F4" s="26" t="s">
        <v>94</v>
      </c>
      <c r="G4" s="17">
        <v>0.55263157894736847</v>
      </c>
      <c r="H4" s="27">
        <v>3409</v>
      </c>
      <c r="I4" s="28">
        <v>1883.9210526315792</v>
      </c>
      <c r="J4" s="29">
        <f>H4*G4</f>
        <v>1883.9210526315792</v>
      </c>
      <c r="K4" s="29">
        <f>I4-J4</f>
        <v>0</v>
      </c>
      <c r="L4" s="30">
        <v>43743</v>
      </c>
      <c r="M4" s="14" t="s">
        <v>13</v>
      </c>
      <c r="N4" s="8" t="s">
        <v>154</v>
      </c>
      <c r="O4" s="8" t="s">
        <v>80</v>
      </c>
      <c r="P4" s="8" t="s">
        <v>88</v>
      </c>
      <c r="Q4" s="13" t="s">
        <v>124</v>
      </c>
      <c r="R4" s="13" t="s">
        <v>94</v>
      </c>
      <c r="S4" s="17">
        <v>0.55263157894736847</v>
      </c>
    </row>
    <row r="5" spans="1:21" x14ac:dyDescent="0.25">
      <c r="A5" s="24" t="s">
        <v>14</v>
      </c>
      <c r="B5" s="25" t="s">
        <v>154</v>
      </c>
      <c r="C5" s="25" t="s">
        <v>80</v>
      </c>
      <c r="D5" s="25" t="s">
        <v>88</v>
      </c>
      <c r="E5" s="26" t="s">
        <v>125</v>
      </c>
      <c r="F5" s="26" t="s">
        <v>95</v>
      </c>
      <c r="G5" s="17">
        <v>0.21052631578947367</v>
      </c>
      <c r="H5" s="27">
        <v>4381</v>
      </c>
      <c r="I5" s="28">
        <v>922.31578947368416</v>
      </c>
      <c r="J5" s="29">
        <f>H5*G5</f>
        <v>922.31578947368416</v>
      </c>
      <c r="K5" s="29">
        <f>I5-J5</f>
        <v>0</v>
      </c>
      <c r="L5" s="31">
        <v>42964</v>
      </c>
      <c r="M5" s="14" t="s">
        <v>14</v>
      </c>
      <c r="N5" s="8" t="s">
        <v>154</v>
      </c>
      <c r="O5" s="8" t="s">
        <v>80</v>
      </c>
      <c r="P5" s="8" t="s">
        <v>88</v>
      </c>
      <c r="Q5" s="13" t="s">
        <v>125</v>
      </c>
      <c r="R5" s="13" t="s">
        <v>95</v>
      </c>
      <c r="S5" s="17">
        <v>0.31578947368421051</v>
      </c>
      <c r="U5" s="23" t="s">
        <v>336</v>
      </c>
    </row>
    <row r="6" spans="1:21" x14ac:dyDescent="0.25">
      <c r="A6" s="24" t="s">
        <v>219</v>
      </c>
      <c r="B6" s="25" t="s">
        <v>154</v>
      </c>
      <c r="C6" s="25" t="s">
        <v>80</v>
      </c>
      <c r="D6" s="25" t="s">
        <v>88</v>
      </c>
      <c r="E6" s="26" t="s">
        <v>221</v>
      </c>
      <c r="F6" s="26" t="s">
        <v>222</v>
      </c>
      <c r="G6" s="17">
        <v>0.26300000000000001</v>
      </c>
      <c r="H6" s="27">
        <v>3780</v>
      </c>
      <c r="I6" s="28">
        <v>994.1400000000001</v>
      </c>
      <c r="J6" s="29">
        <f>H6*G6</f>
        <v>994.1400000000001</v>
      </c>
      <c r="K6" s="29">
        <f>I6-J6</f>
        <v>0</v>
      </c>
      <c r="L6" s="30">
        <v>45516</v>
      </c>
      <c r="M6" s="14" t="s">
        <v>219</v>
      </c>
      <c r="N6" s="8" t="s">
        <v>154</v>
      </c>
      <c r="O6" s="8" t="s">
        <v>80</v>
      </c>
      <c r="P6" s="8" t="s">
        <v>88</v>
      </c>
      <c r="Q6" s="13" t="s">
        <v>221</v>
      </c>
      <c r="R6" s="13" t="s">
        <v>222</v>
      </c>
      <c r="S6" s="17">
        <v>1</v>
      </c>
      <c r="U6" s="23" t="s">
        <v>337</v>
      </c>
    </row>
    <row r="7" spans="1:21" x14ac:dyDescent="0.25">
      <c r="A7" s="14" t="s">
        <v>314</v>
      </c>
      <c r="B7" s="8" t="s">
        <v>156</v>
      </c>
      <c r="C7" s="8" t="s">
        <v>80</v>
      </c>
      <c r="D7" s="8" t="s">
        <v>89</v>
      </c>
      <c r="E7" s="16">
        <v>1.0004000000000001E-2</v>
      </c>
      <c r="F7" s="13" t="s">
        <v>155</v>
      </c>
      <c r="G7" s="17">
        <v>1</v>
      </c>
      <c r="H7" s="27">
        <v>2486.63</v>
      </c>
      <c r="I7" s="28">
        <v>2486.63</v>
      </c>
      <c r="J7" s="29">
        <f>H7*G7</f>
        <v>2486.63</v>
      </c>
      <c r="K7" s="29">
        <f t="shared" ref="K7:K32" si="0">I7-J7</f>
        <v>0</v>
      </c>
      <c r="L7" s="19">
        <v>45181</v>
      </c>
      <c r="M7" s="14"/>
      <c r="N7" s="8"/>
      <c r="O7" s="8"/>
      <c r="P7" s="8"/>
      <c r="Q7" s="13"/>
      <c r="R7" s="13"/>
      <c r="S7" s="17"/>
      <c r="U7" s="23" t="s">
        <v>338</v>
      </c>
    </row>
    <row r="8" spans="1:21" x14ac:dyDescent="0.25">
      <c r="A8" s="14" t="s">
        <v>320</v>
      </c>
      <c r="B8" s="8" t="s">
        <v>154</v>
      </c>
      <c r="C8" s="8" t="s">
        <v>80</v>
      </c>
      <c r="D8" s="8" t="s">
        <v>89</v>
      </c>
      <c r="E8" s="13" t="s">
        <v>142</v>
      </c>
      <c r="F8" s="13" t="s">
        <v>114</v>
      </c>
      <c r="G8" s="17">
        <v>1</v>
      </c>
      <c r="H8" s="27">
        <v>2532</v>
      </c>
      <c r="I8" s="28">
        <v>2532</v>
      </c>
      <c r="J8" s="29">
        <f t="shared" ref="J8:J62" si="1">H8*G8</f>
        <v>2532</v>
      </c>
      <c r="K8" s="29">
        <f t="shared" si="0"/>
        <v>0</v>
      </c>
      <c r="L8" s="19">
        <v>44749</v>
      </c>
      <c r="M8" s="14"/>
      <c r="N8" s="8"/>
      <c r="O8" s="8"/>
      <c r="P8" s="8"/>
      <c r="Q8" s="13"/>
      <c r="R8" s="13"/>
      <c r="S8" s="17"/>
      <c r="U8" s="23" t="s">
        <v>339</v>
      </c>
    </row>
    <row r="9" spans="1:21" x14ac:dyDescent="0.25">
      <c r="A9" s="14" t="s">
        <v>318</v>
      </c>
      <c r="B9" s="8" t="s">
        <v>154</v>
      </c>
      <c r="C9" s="8" t="s">
        <v>80</v>
      </c>
      <c r="D9" s="8" t="s">
        <v>88</v>
      </c>
      <c r="E9" s="13" t="s">
        <v>221</v>
      </c>
      <c r="F9" s="13" t="s">
        <v>222</v>
      </c>
      <c r="G9" s="17">
        <v>1</v>
      </c>
      <c r="H9" s="27">
        <v>3819</v>
      </c>
      <c r="I9" s="32">
        <v>3819</v>
      </c>
      <c r="J9" s="29">
        <f t="shared" si="1"/>
        <v>3819</v>
      </c>
      <c r="K9" s="29">
        <f t="shared" si="0"/>
        <v>0</v>
      </c>
      <c r="L9" s="19">
        <v>45516</v>
      </c>
      <c r="M9" s="14"/>
      <c r="N9" s="8"/>
      <c r="O9" s="8"/>
      <c r="P9" s="8"/>
      <c r="Q9" s="13"/>
      <c r="R9" s="13"/>
      <c r="S9" s="17"/>
    </row>
    <row r="10" spans="1:21" x14ac:dyDescent="0.25">
      <c r="A10" s="14" t="s">
        <v>312</v>
      </c>
      <c r="B10" s="8" t="s">
        <v>156</v>
      </c>
      <c r="C10" s="8" t="s">
        <v>80</v>
      </c>
      <c r="D10" s="8" t="s">
        <v>89</v>
      </c>
      <c r="E10" s="13" t="s">
        <v>313</v>
      </c>
      <c r="F10" s="13" t="s">
        <v>155</v>
      </c>
      <c r="G10" s="17">
        <v>0.53</v>
      </c>
      <c r="H10" s="27">
        <v>2633.26</v>
      </c>
      <c r="I10" s="32">
        <v>1395.6278000000002</v>
      </c>
      <c r="J10" s="29">
        <f t="shared" si="1"/>
        <v>1395.6278000000002</v>
      </c>
      <c r="K10" s="29">
        <f t="shared" si="0"/>
        <v>0</v>
      </c>
      <c r="L10" s="19">
        <v>45181</v>
      </c>
      <c r="M10" s="14"/>
      <c r="N10" s="8"/>
      <c r="O10" s="8"/>
      <c r="P10" s="8"/>
      <c r="Q10" s="13"/>
      <c r="R10" s="13"/>
      <c r="S10" s="17"/>
    </row>
    <row r="11" spans="1:21" x14ac:dyDescent="0.25">
      <c r="A11" s="24" t="s">
        <v>266</v>
      </c>
      <c r="B11" s="25" t="s">
        <v>154</v>
      </c>
      <c r="C11" s="25" t="s">
        <v>78</v>
      </c>
      <c r="D11" s="25" t="s">
        <v>88</v>
      </c>
      <c r="E11" s="26" t="s">
        <v>120</v>
      </c>
      <c r="F11" s="26" t="s">
        <v>90</v>
      </c>
      <c r="G11" s="17">
        <v>0.23684210526315788</v>
      </c>
      <c r="H11" s="27">
        <v>3369</v>
      </c>
      <c r="I11" s="28">
        <v>797.92105263157896</v>
      </c>
      <c r="J11" s="29">
        <f t="shared" si="1"/>
        <v>797.92105263157896</v>
      </c>
      <c r="K11" s="29">
        <f t="shared" si="0"/>
        <v>0</v>
      </c>
      <c r="L11" s="30">
        <v>44076</v>
      </c>
      <c r="M11" s="14" t="s">
        <v>266</v>
      </c>
      <c r="N11" s="8" t="s">
        <v>154</v>
      </c>
      <c r="O11" s="8" t="s">
        <v>78</v>
      </c>
      <c r="P11" s="8" t="s">
        <v>88</v>
      </c>
      <c r="Q11" s="13" t="s">
        <v>120</v>
      </c>
      <c r="R11" s="13" t="s">
        <v>90</v>
      </c>
      <c r="S11" s="17">
        <v>0.23684210526315788</v>
      </c>
    </row>
    <row r="12" spans="1:21" x14ac:dyDescent="0.25">
      <c r="A12" s="24" t="s">
        <v>158</v>
      </c>
      <c r="B12" s="25" t="s">
        <v>154</v>
      </c>
      <c r="C12" s="25" t="s">
        <v>78</v>
      </c>
      <c r="D12" s="25" t="s">
        <v>88</v>
      </c>
      <c r="E12" s="26" t="s">
        <v>160</v>
      </c>
      <c r="F12" s="26">
        <v>2751</v>
      </c>
      <c r="G12" s="17">
        <v>0.94736842105263153</v>
      </c>
      <c r="H12" s="27">
        <v>3533</v>
      </c>
      <c r="I12" s="28">
        <v>3347.0526315789471</v>
      </c>
      <c r="J12" s="29">
        <f t="shared" si="1"/>
        <v>3347.0526315789471</v>
      </c>
      <c r="K12" s="29">
        <f t="shared" si="0"/>
        <v>0</v>
      </c>
      <c r="L12" s="30">
        <v>44106</v>
      </c>
      <c r="M12" s="14" t="s">
        <v>158</v>
      </c>
      <c r="N12" s="8" t="s">
        <v>154</v>
      </c>
      <c r="O12" s="8" t="s">
        <v>78</v>
      </c>
      <c r="P12" s="8" t="s">
        <v>88</v>
      </c>
      <c r="Q12" s="13" t="s">
        <v>160</v>
      </c>
      <c r="R12" s="13">
        <v>2751</v>
      </c>
      <c r="S12" s="17">
        <v>0.94736842105263153</v>
      </c>
    </row>
    <row r="13" spans="1:21" x14ac:dyDescent="0.25">
      <c r="A13" s="14" t="s">
        <v>311</v>
      </c>
      <c r="B13" s="8" t="s">
        <v>156</v>
      </c>
      <c r="C13" s="8" t="s">
        <v>78</v>
      </c>
      <c r="D13" s="8" t="s">
        <v>89</v>
      </c>
      <c r="E13" s="16">
        <v>1.0015E-2</v>
      </c>
      <c r="F13" s="13" t="s">
        <v>155</v>
      </c>
      <c r="G13" s="17">
        <v>0.61</v>
      </c>
      <c r="H13" s="27">
        <v>2633.26</v>
      </c>
      <c r="I13" s="32">
        <v>1606.2886000000001</v>
      </c>
      <c r="J13" s="29">
        <f t="shared" si="1"/>
        <v>1606.2886000000001</v>
      </c>
      <c r="K13" s="29">
        <f t="shared" si="0"/>
        <v>0</v>
      </c>
      <c r="L13" s="19">
        <v>45182</v>
      </c>
      <c r="M13" s="14"/>
      <c r="N13" s="8"/>
      <c r="O13" s="8"/>
      <c r="P13" s="8"/>
      <c r="Q13" s="13"/>
      <c r="R13" s="13"/>
      <c r="S13" s="17"/>
    </row>
    <row r="14" spans="1:21" x14ac:dyDescent="0.25">
      <c r="A14" s="14" t="s">
        <v>309</v>
      </c>
      <c r="B14" s="8" t="s">
        <v>156</v>
      </c>
      <c r="C14" s="8" t="s">
        <v>78</v>
      </c>
      <c r="D14" s="8" t="s">
        <v>89</v>
      </c>
      <c r="E14" s="13" t="s">
        <v>310</v>
      </c>
      <c r="F14" s="13" t="s">
        <v>155</v>
      </c>
      <c r="G14" s="17">
        <v>1</v>
      </c>
      <c r="H14" s="27">
        <v>2633.26</v>
      </c>
      <c r="I14" s="32">
        <v>2633.26</v>
      </c>
      <c r="J14" s="29">
        <f t="shared" si="1"/>
        <v>2633.26</v>
      </c>
      <c r="K14" s="29">
        <f t="shared" si="0"/>
        <v>0</v>
      </c>
      <c r="L14" s="19">
        <v>45181</v>
      </c>
      <c r="M14" s="14"/>
      <c r="N14" s="8"/>
      <c r="O14" s="8"/>
      <c r="P14" s="8"/>
      <c r="Q14" s="13"/>
      <c r="R14" s="13"/>
      <c r="S14" s="17"/>
      <c r="T14" s="23">
        <v>1900</v>
      </c>
    </row>
    <row r="15" spans="1:21" x14ac:dyDescent="0.25">
      <c r="A15" s="24" t="s">
        <v>26</v>
      </c>
      <c r="B15" s="25" t="s">
        <v>154</v>
      </c>
      <c r="C15" s="25" t="s">
        <v>81</v>
      </c>
      <c r="D15" s="25" t="s">
        <v>89</v>
      </c>
      <c r="E15" s="26" t="s">
        <v>136</v>
      </c>
      <c r="F15" s="26">
        <v>2617</v>
      </c>
      <c r="G15" s="17">
        <v>0.34210526315789475</v>
      </c>
      <c r="H15" s="27">
        <v>3000</v>
      </c>
      <c r="I15" s="28">
        <v>1026.3157894736842</v>
      </c>
      <c r="J15" s="29">
        <f>H15*G15</f>
        <v>1026.3157894736842</v>
      </c>
      <c r="K15" s="29">
        <f t="shared" si="0"/>
        <v>0</v>
      </c>
      <c r="L15" s="31">
        <v>43237</v>
      </c>
      <c r="M15" s="14" t="s">
        <v>26</v>
      </c>
      <c r="N15" s="8" t="s">
        <v>154</v>
      </c>
      <c r="O15" s="8" t="s">
        <v>81</v>
      </c>
      <c r="P15" s="8" t="s">
        <v>89</v>
      </c>
      <c r="Q15" s="13" t="s">
        <v>136</v>
      </c>
      <c r="R15" s="13">
        <v>2617</v>
      </c>
      <c r="S15" s="17">
        <v>0.34210526315789475</v>
      </c>
    </row>
    <row r="16" spans="1:21" x14ac:dyDescent="0.25">
      <c r="A16" s="24" t="s">
        <v>287</v>
      </c>
      <c r="B16" s="25" t="s">
        <v>154</v>
      </c>
      <c r="C16" s="25" t="s">
        <v>81</v>
      </c>
      <c r="D16" s="25" t="s">
        <v>89</v>
      </c>
      <c r="E16" s="26" t="s">
        <v>136</v>
      </c>
      <c r="F16" s="26">
        <v>2617</v>
      </c>
      <c r="G16" s="17">
        <v>1</v>
      </c>
      <c r="H16" s="27">
        <v>4204</v>
      </c>
      <c r="I16" s="32">
        <v>4204</v>
      </c>
      <c r="J16" s="29">
        <f>H16*G16</f>
        <v>4204</v>
      </c>
      <c r="K16" s="29">
        <f t="shared" si="0"/>
        <v>0</v>
      </c>
      <c r="L16" s="30">
        <v>45926</v>
      </c>
      <c r="M16" s="14"/>
      <c r="N16" s="8"/>
      <c r="O16" s="8"/>
      <c r="P16" s="8"/>
      <c r="Q16" s="13"/>
      <c r="R16" s="13"/>
      <c r="S16" s="17"/>
    </row>
    <row r="17" spans="1:20" x14ac:dyDescent="0.25">
      <c r="A17" s="24" t="s">
        <v>192</v>
      </c>
      <c r="B17" s="25" t="s">
        <v>154</v>
      </c>
      <c r="C17" s="25" t="s">
        <v>81</v>
      </c>
      <c r="D17" s="25" t="s">
        <v>89</v>
      </c>
      <c r="E17" s="33">
        <v>9.8569999999999994E-3</v>
      </c>
      <c r="F17" s="26" t="s">
        <v>107</v>
      </c>
      <c r="G17" s="17">
        <v>0.57894736842105265</v>
      </c>
      <c r="H17" s="27">
        <v>3277</v>
      </c>
      <c r="I17" s="28">
        <v>1897.2105263157896</v>
      </c>
      <c r="J17" s="29">
        <f t="shared" si="1"/>
        <v>1897.2105263157896</v>
      </c>
      <c r="K17" s="29">
        <f t="shared" si="0"/>
        <v>0</v>
      </c>
      <c r="L17" s="30">
        <v>45081</v>
      </c>
      <c r="M17" s="14" t="s">
        <v>192</v>
      </c>
      <c r="N17" s="8" t="s">
        <v>154</v>
      </c>
      <c r="O17" s="8" t="s">
        <v>81</v>
      </c>
      <c r="P17" s="8" t="s">
        <v>89</v>
      </c>
      <c r="Q17" s="16">
        <v>9.8569999999999994E-3</v>
      </c>
      <c r="R17" s="13" t="s">
        <v>107</v>
      </c>
      <c r="S17" s="17">
        <v>0.76315789473684215</v>
      </c>
    </row>
    <row r="18" spans="1:20" x14ac:dyDescent="0.25">
      <c r="A18" s="24" t="s">
        <v>27</v>
      </c>
      <c r="B18" s="25" t="s">
        <v>154</v>
      </c>
      <c r="C18" s="25" t="s">
        <v>81</v>
      </c>
      <c r="D18" s="25" t="s">
        <v>89</v>
      </c>
      <c r="E18" s="33">
        <v>1.9571000000000002E-2</v>
      </c>
      <c r="F18" s="26" t="s">
        <v>108</v>
      </c>
      <c r="G18" s="17">
        <v>0.71052631578947367</v>
      </c>
      <c r="H18" s="27">
        <v>3000</v>
      </c>
      <c r="I18" s="28">
        <v>2131.5789473684208</v>
      </c>
      <c r="J18" s="29">
        <f t="shared" si="1"/>
        <v>2131.5789473684208</v>
      </c>
      <c r="K18" s="29">
        <f t="shared" si="0"/>
        <v>0</v>
      </c>
      <c r="L18" s="30">
        <v>43582</v>
      </c>
      <c r="M18" s="14" t="s">
        <v>27</v>
      </c>
      <c r="N18" s="8" t="s">
        <v>154</v>
      </c>
      <c r="O18" s="8" t="s">
        <v>81</v>
      </c>
      <c r="P18" s="8" t="s">
        <v>89</v>
      </c>
      <c r="Q18" s="16">
        <v>1.9571000000000002E-2</v>
      </c>
      <c r="R18" s="13" t="s">
        <v>108</v>
      </c>
      <c r="S18" s="17">
        <v>0.76315789473684215</v>
      </c>
    </row>
    <row r="19" spans="1:20" x14ac:dyDescent="0.25">
      <c r="A19" s="24" t="s">
        <v>28</v>
      </c>
      <c r="B19" s="25" t="s">
        <v>154</v>
      </c>
      <c r="C19" s="25" t="s">
        <v>81</v>
      </c>
      <c r="D19" s="25" t="s">
        <v>89</v>
      </c>
      <c r="E19" s="33">
        <v>2.938E-2</v>
      </c>
      <c r="F19" s="26" t="s">
        <v>109</v>
      </c>
      <c r="G19" s="17">
        <v>0.36842105263157893</v>
      </c>
      <c r="H19" s="27">
        <v>2970</v>
      </c>
      <c r="I19" s="28">
        <v>1094.2105263157894</v>
      </c>
      <c r="J19" s="29">
        <f>H19*G19</f>
        <v>1094.2105263157894</v>
      </c>
      <c r="K19" s="29">
        <f t="shared" si="0"/>
        <v>0</v>
      </c>
      <c r="L19" s="31">
        <v>43253</v>
      </c>
      <c r="M19" s="14" t="s">
        <v>28</v>
      </c>
      <c r="N19" s="8" t="s">
        <v>154</v>
      </c>
      <c r="O19" s="8" t="s">
        <v>81</v>
      </c>
      <c r="P19" s="8" t="s">
        <v>89</v>
      </c>
      <c r="Q19" s="16">
        <v>2.938E-2</v>
      </c>
      <c r="R19" s="13" t="s">
        <v>109</v>
      </c>
      <c r="S19" s="17">
        <v>0.36842105263157893</v>
      </c>
    </row>
    <row r="20" spans="1:20" x14ac:dyDescent="0.25">
      <c r="A20" s="14" t="s">
        <v>157</v>
      </c>
      <c r="B20" s="8" t="s">
        <v>156</v>
      </c>
      <c r="C20" s="8" t="s">
        <v>81</v>
      </c>
      <c r="D20" s="8" t="s">
        <v>89</v>
      </c>
      <c r="E20" s="16">
        <v>0.11005</v>
      </c>
      <c r="F20" s="13" t="s">
        <v>155</v>
      </c>
      <c r="G20" s="17">
        <v>0</v>
      </c>
      <c r="H20" s="34">
        <v>2378.4</v>
      </c>
      <c r="I20" s="35">
        <v>0</v>
      </c>
      <c r="J20" s="29">
        <f>H20*G20</f>
        <v>0</v>
      </c>
      <c r="K20" s="29">
        <f t="shared" si="0"/>
        <v>0</v>
      </c>
      <c r="L20" s="30">
        <v>44508</v>
      </c>
      <c r="M20" s="14" t="s">
        <v>157</v>
      </c>
      <c r="N20" s="8" t="s">
        <v>156</v>
      </c>
      <c r="O20" s="8" t="s">
        <v>81</v>
      </c>
      <c r="P20" s="8" t="s">
        <v>89</v>
      </c>
      <c r="Q20" s="16">
        <v>0.11005</v>
      </c>
      <c r="R20" s="13" t="s">
        <v>155</v>
      </c>
      <c r="S20" s="17">
        <v>0</v>
      </c>
    </row>
    <row r="21" spans="1:20" x14ac:dyDescent="0.25">
      <c r="A21" s="14" t="s">
        <v>270</v>
      </c>
      <c r="B21" s="8" t="s">
        <v>154</v>
      </c>
      <c r="C21" s="8" t="s">
        <v>81</v>
      </c>
      <c r="D21" s="8" t="s">
        <v>89</v>
      </c>
      <c r="E21" s="16">
        <v>0.1608</v>
      </c>
      <c r="F21" s="13">
        <v>2745</v>
      </c>
      <c r="G21" s="17">
        <v>0.94736842105263153</v>
      </c>
      <c r="H21" s="34">
        <v>3403</v>
      </c>
      <c r="I21" s="35">
        <v>3223.894736842105</v>
      </c>
      <c r="J21" s="36">
        <f t="shared" si="1"/>
        <v>3223.894736842105</v>
      </c>
      <c r="K21" s="29">
        <f t="shared" si="0"/>
        <v>0</v>
      </c>
      <c r="L21" s="37">
        <v>44263</v>
      </c>
      <c r="M21" s="14"/>
      <c r="N21" s="8"/>
      <c r="O21" s="8"/>
      <c r="P21" s="8"/>
      <c r="Q21" s="16"/>
      <c r="R21" s="13"/>
      <c r="S21" s="17"/>
    </row>
    <row r="22" spans="1:20" x14ac:dyDescent="0.25">
      <c r="A22" s="14" t="s">
        <v>302</v>
      </c>
      <c r="B22" s="8" t="s">
        <v>154</v>
      </c>
      <c r="C22" s="8" t="s">
        <v>81</v>
      </c>
      <c r="D22" s="8" t="s">
        <v>89</v>
      </c>
      <c r="E22" s="16">
        <v>6.9440000000000002E-2</v>
      </c>
      <c r="F22" s="13" t="s">
        <v>96</v>
      </c>
      <c r="G22" s="17">
        <v>1</v>
      </c>
      <c r="H22" s="34">
        <v>7358</v>
      </c>
      <c r="I22" s="35">
        <v>7358</v>
      </c>
      <c r="J22" s="36">
        <f t="shared" si="1"/>
        <v>7358</v>
      </c>
      <c r="K22" s="29">
        <f t="shared" si="0"/>
        <v>0</v>
      </c>
      <c r="L22" s="19">
        <v>46034</v>
      </c>
      <c r="M22" s="14"/>
      <c r="N22" s="8"/>
      <c r="O22" s="8"/>
      <c r="P22" s="8"/>
      <c r="Q22" s="16"/>
      <c r="R22" s="13"/>
      <c r="S22" s="17"/>
    </row>
    <row r="23" spans="1:20" x14ac:dyDescent="0.25">
      <c r="A23" s="14" t="s">
        <v>316</v>
      </c>
      <c r="B23" s="8" t="s">
        <v>156</v>
      </c>
      <c r="C23" s="8" t="s">
        <v>81</v>
      </c>
      <c r="D23" s="8" t="s">
        <v>89</v>
      </c>
      <c r="E23" s="16">
        <v>0.11008</v>
      </c>
      <c r="F23" s="13" t="s">
        <v>155</v>
      </c>
      <c r="G23" s="17">
        <v>1</v>
      </c>
      <c r="H23" s="34">
        <v>2486.63</v>
      </c>
      <c r="I23" s="38">
        <v>2486.63</v>
      </c>
      <c r="J23" s="36">
        <f t="shared" si="1"/>
        <v>2486.63</v>
      </c>
      <c r="K23" s="29">
        <f t="shared" si="0"/>
        <v>0</v>
      </c>
      <c r="L23" s="19">
        <v>45182</v>
      </c>
      <c r="M23" s="14"/>
      <c r="N23" s="8"/>
      <c r="O23" s="8"/>
      <c r="P23" s="8"/>
      <c r="Q23" s="16"/>
      <c r="R23" s="13"/>
      <c r="S23" s="17"/>
    </row>
    <row r="24" spans="1:20" x14ac:dyDescent="0.25">
      <c r="A24" s="24" t="s">
        <v>25</v>
      </c>
      <c r="B24" s="25" t="s">
        <v>154</v>
      </c>
      <c r="C24" s="25" t="s">
        <v>82</v>
      </c>
      <c r="D24" s="25" t="s">
        <v>88</v>
      </c>
      <c r="E24" s="26" t="s">
        <v>135</v>
      </c>
      <c r="F24" s="26" t="s">
        <v>106</v>
      </c>
      <c r="G24" s="17">
        <v>0.27631578947368424</v>
      </c>
      <c r="H24" s="27">
        <v>3378</v>
      </c>
      <c r="I24" s="28">
        <v>933.39473684210532</v>
      </c>
      <c r="J24" s="29">
        <f t="shared" si="1"/>
        <v>933.39473684210532</v>
      </c>
      <c r="K24" s="29">
        <f t="shared" si="0"/>
        <v>0</v>
      </c>
      <c r="L24" s="31">
        <v>42948</v>
      </c>
      <c r="M24" s="14" t="s">
        <v>25</v>
      </c>
      <c r="N24" s="8" t="s">
        <v>154</v>
      </c>
      <c r="O24" s="8" t="s">
        <v>82</v>
      </c>
      <c r="P24" s="8" t="s">
        <v>88</v>
      </c>
      <c r="Q24" s="13" t="s">
        <v>135</v>
      </c>
      <c r="R24" s="13" t="s">
        <v>106</v>
      </c>
      <c r="S24" s="17">
        <v>0.27631578947368424</v>
      </c>
    </row>
    <row r="25" spans="1:20" x14ac:dyDescent="0.25">
      <c r="A25" s="24" t="s">
        <v>276</v>
      </c>
      <c r="B25" s="25" t="s">
        <v>154</v>
      </c>
      <c r="C25" s="25" t="s">
        <v>82</v>
      </c>
      <c r="D25" s="25" t="s">
        <v>89</v>
      </c>
      <c r="E25" s="26" t="s">
        <v>278</v>
      </c>
      <c r="F25" s="26" t="s">
        <v>279</v>
      </c>
      <c r="G25" s="17">
        <v>0.44700000000000001</v>
      </c>
      <c r="H25" s="27">
        <v>3501</v>
      </c>
      <c r="I25" s="28">
        <v>1564.9470000000001</v>
      </c>
      <c r="J25" s="29">
        <f t="shared" si="1"/>
        <v>1564.9470000000001</v>
      </c>
      <c r="K25" s="29">
        <f t="shared" si="0"/>
        <v>0</v>
      </c>
      <c r="L25" s="30">
        <v>44283</v>
      </c>
      <c r="M25" s="14"/>
      <c r="N25" s="8"/>
      <c r="O25" s="8"/>
      <c r="P25" s="8"/>
      <c r="Q25" s="13"/>
      <c r="R25" s="13"/>
      <c r="S25" s="17"/>
    </row>
    <row r="26" spans="1:20" x14ac:dyDescent="0.25">
      <c r="A26" s="24" t="s">
        <v>17</v>
      </c>
      <c r="B26" s="25" t="s">
        <v>154</v>
      </c>
      <c r="C26" s="25" t="s">
        <v>82</v>
      </c>
      <c r="D26" s="25" t="s">
        <v>89</v>
      </c>
      <c r="E26" s="26" t="s">
        <v>127</v>
      </c>
      <c r="F26" s="26" t="s">
        <v>98</v>
      </c>
      <c r="G26" s="17">
        <v>0.10526315789473684</v>
      </c>
      <c r="H26" s="27">
        <v>3132</v>
      </c>
      <c r="I26" s="28">
        <v>329.68421052631578</v>
      </c>
      <c r="J26" s="29">
        <f t="shared" si="1"/>
        <v>329.68421052631578</v>
      </c>
      <c r="K26" s="29">
        <f t="shared" si="0"/>
        <v>0</v>
      </c>
      <c r="L26" s="39">
        <v>44829</v>
      </c>
      <c r="M26" s="14" t="s">
        <v>17</v>
      </c>
      <c r="N26" s="8" t="s">
        <v>154</v>
      </c>
      <c r="O26" s="8" t="s">
        <v>82</v>
      </c>
      <c r="P26" s="8" t="s">
        <v>89</v>
      </c>
      <c r="Q26" s="13" t="s">
        <v>127</v>
      </c>
      <c r="R26" s="13" t="s">
        <v>98</v>
      </c>
      <c r="S26" s="17">
        <v>0.10526315789473684</v>
      </c>
    </row>
    <row r="27" spans="1:20" x14ac:dyDescent="0.25">
      <c r="A27" s="24" t="s">
        <v>32</v>
      </c>
      <c r="B27" s="25" t="s">
        <v>154</v>
      </c>
      <c r="C27" s="25" t="s">
        <v>82</v>
      </c>
      <c r="D27" s="25" t="s">
        <v>89</v>
      </c>
      <c r="E27" s="26" t="s">
        <v>140</v>
      </c>
      <c r="F27" s="26" t="s">
        <v>112</v>
      </c>
      <c r="G27" s="17">
        <v>0.81578947368421051</v>
      </c>
      <c r="H27" s="27">
        <v>3073</v>
      </c>
      <c r="I27" s="28">
        <v>2506.9210526315787</v>
      </c>
      <c r="J27" s="29">
        <f t="shared" si="1"/>
        <v>2506.9210526315787</v>
      </c>
      <c r="K27" s="29">
        <f t="shared" si="0"/>
        <v>0</v>
      </c>
      <c r="L27" s="31">
        <v>43185</v>
      </c>
      <c r="M27" s="14" t="s">
        <v>32</v>
      </c>
      <c r="N27" s="8" t="s">
        <v>154</v>
      </c>
      <c r="O27" s="8" t="s">
        <v>82</v>
      </c>
      <c r="P27" s="8" t="s">
        <v>89</v>
      </c>
      <c r="Q27" s="13" t="s">
        <v>140</v>
      </c>
      <c r="R27" s="13" t="s">
        <v>112</v>
      </c>
      <c r="S27" s="17">
        <v>0.81578947368421051</v>
      </c>
    </row>
    <row r="28" spans="1:20" x14ac:dyDescent="0.25">
      <c r="A28" s="24" t="s">
        <v>283</v>
      </c>
      <c r="B28" s="25" t="s">
        <v>154</v>
      </c>
      <c r="C28" s="25" t="s">
        <v>82</v>
      </c>
      <c r="D28" s="25" t="s">
        <v>89</v>
      </c>
      <c r="E28" s="26" t="s">
        <v>285</v>
      </c>
      <c r="F28" s="26" t="s">
        <v>286</v>
      </c>
      <c r="G28" s="17">
        <v>1</v>
      </c>
      <c r="H28" s="27">
        <v>3109</v>
      </c>
      <c r="I28" s="32">
        <v>3109</v>
      </c>
      <c r="J28" s="29">
        <f t="shared" si="1"/>
        <v>3109</v>
      </c>
      <c r="K28" s="29">
        <f t="shared" si="0"/>
        <v>0</v>
      </c>
      <c r="L28" s="30">
        <v>44459</v>
      </c>
      <c r="M28" s="14"/>
      <c r="N28" s="8"/>
      <c r="O28" s="8"/>
      <c r="P28" s="8"/>
      <c r="Q28" s="13"/>
      <c r="R28" s="13"/>
      <c r="S28" s="17"/>
    </row>
    <row r="29" spans="1:20" x14ac:dyDescent="0.25">
      <c r="A29" s="24" t="s">
        <v>19</v>
      </c>
      <c r="B29" s="25" t="s">
        <v>154</v>
      </c>
      <c r="C29" s="25" t="s">
        <v>82</v>
      </c>
      <c r="D29" s="25" t="s">
        <v>89</v>
      </c>
      <c r="E29" s="26" t="s">
        <v>128</v>
      </c>
      <c r="F29" s="26" t="s">
        <v>99</v>
      </c>
      <c r="G29" s="17">
        <v>0.33</v>
      </c>
      <c r="H29" s="27">
        <v>3718</v>
      </c>
      <c r="I29" s="28">
        <v>1761.1578947368421</v>
      </c>
      <c r="J29" s="29">
        <f t="shared" si="1"/>
        <v>1226.94</v>
      </c>
      <c r="K29" s="29">
        <f t="shared" si="0"/>
        <v>534.21789473684203</v>
      </c>
      <c r="L29" s="30">
        <v>44465</v>
      </c>
      <c r="M29" s="14" t="s">
        <v>19</v>
      </c>
      <c r="N29" s="8" t="s">
        <v>154</v>
      </c>
      <c r="O29" s="8" t="s">
        <v>82</v>
      </c>
      <c r="P29" s="8" t="s">
        <v>89</v>
      </c>
      <c r="Q29" s="13" t="s">
        <v>128</v>
      </c>
      <c r="R29" s="13" t="s">
        <v>99</v>
      </c>
      <c r="S29" s="17">
        <v>0.81578947368421051</v>
      </c>
      <c r="T29" s="23">
        <v>1800</v>
      </c>
    </row>
    <row r="30" spans="1:20" x14ac:dyDescent="0.25">
      <c r="A30" s="14" t="s">
        <v>326</v>
      </c>
      <c r="B30" s="8" t="s">
        <v>154</v>
      </c>
      <c r="C30" s="8" t="s">
        <v>82</v>
      </c>
      <c r="D30" s="8" t="s">
        <v>89</v>
      </c>
      <c r="E30" s="13" t="s">
        <v>328</v>
      </c>
      <c r="F30" s="13" t="s">
        <v>329</v>
      </c>
      <c r="G30" s="17">
        <v>1</v>
      </c>
      <c r="H30" s="40">
        <v>3000</v>
      </c>
      <c r="I30" s="28">
        <v>0</v>
      </c>
      <c r="J30" s="40">
        <v>3000</v>
      </c>
      <c r="K30" s="29"/>
      <c r="L30" s="19">
        <v>44749</v>
      </c>
      <c r="M30" s="14"/>
      <c r="N30" s="8"/>
      <c r="O30" s="8"/>
      <c r="P30" s="8"/>
      <c r="Q30" s="13"/>
      <c r="R30" s="13"/>
      <c r="S30" s="17"/>
    </row>
    <row r="31" spans="1:20" x14ac:dyDescent="0.25">
      <c r="A31" s="41" t="s">
        <v>33</v>
      </c>
      <c r="B31" s="42" t="s">
        <v>154</v>
      </c>
      <c r="C31" s="42" t="s">
        <v>82</v>
      </c>
      <c r="D31" s="42" t="s">
        <v>89</v>
      </c>
      <c r="E31" s="43" t="s">
        <v>141</v>
      </c>
      <c r="F31" s="43" t="s">
        <v>113</v>
      </c>
      <c r="G31" s="44">
        <v>0</v>
      </c>
      <c r="H31" s="45">
        <v>2891</v>
      </c>
      <c r="I31" s="46">
        <v>0</v>
      </c>
      <c r="J31" s="47">
        <f t="shared" si="1"/>
        <v>0</v>
      </c>
      <c r="K31" s="47">
        <f t="shared" si="0"/>
        <v>0</v>
      </c>
      <c r="L31" s="48">
        <v>43197</v>
      </c>
      <c r="M31" s="14" t="s">
        <v>33</v>
      </c>
      <c r="N31" s="8" t="s">
        <v>154</v>
      </c>
      <c r="O31" s="8" t="s">
        <v>82</v>
      </c>
      <c r="P31" s="8" t="s">
        <v>89</v>
      </c>
      <c r="Q31" s="13" t="s">
        <v>141</v>
      </c>
      <c r="R31" s="13" t="s">
        <v>113</v>
      </c>
      <c r="S31" s="17">
        <v>0.47368421052631576</v>
      </c>
    </row>
    <row r="32" spans="1:20" x14ac:dyDescent="0.25">
      <c r="A32" s="14" t="s">
        <v>39</v>
      </c>
      <c r="B32" s="8" t="s">
        <v>154</v>
      </c>
      <c r="C32" s="8" t="s">
        <v>86</v>
      </c>
      <c r="D32" s="8" t="s">
        <v>89</v>
      </c>
      <c r="E32" s="13" t="s">
        <v>145</v>
      </c>
      <c r="F32" s="13">
        <v>2731</v>
      </c>
      <c r="G32" s="17">
        <v>0.76315789473684215</v>
      </c>
      <c r="H32" s="34">
        <v>3671</v>
      </c>
      <c r="I32" s="35">
        <v>2801.5526315789475</v>
      </c>
      <c r="J32" s="36">
        <f t="shared" si="1"/>
        <v>2801.5526315789475</v>
      </c>
      <c r="K32" s="36">
        <f t="shared" si="0"/>
        <v>0</v>
      </c>
      <c r="L32" s="37">
        <v>43480</v>
      </c>
      <c r="M32" s="14" t="s">
        <v>39</v>
      </c>
      <c r="N32" s="8" t="s">
        <v>154</v>
      </c>
      <c r="O32" s="8" t="s">
        <v>86</v>
      </c>
      <c r="P32" s="8" t="s">
        <v>89</v>
      </c>
      <c r="Q32" s="13" t="s">
        <v>145</v>
      </c>
      <c r="R32" s="13">
        <v>2731</v>
      </c>
      <c r="S32" s="17">
        <v>0.57894736842105265</v>
      </c>
    </row>
    <row r="33" spans="1:20" x14ac:dyDescent="0.25">
      <c r="A33" s="14">
        <v>5604618</v>
      </c>
      <c r="B33" s="8" t="s">
        <v>156</v>
      </c>
      <c r="C33" s="8" t="s">
        <v>86</v>
      </c>
      <c r="D33" s="8" t="s">
        <v>89</v>
      </c>
      <c r="E33" s="13" t="s">
        <v>152</v>
      </c>
      <c r="F33" s="13" t="s">
        <v>155</v>
      </c>
      <c r="G33" s="17">
        <v>0</v>
      </c>
      <c r="H33" s="34">
        <v>3040.38</v>
      </c>
      <c r="I33" s="35">
        <v>0</v>
      </c>
      <c r="J33" s="36">
        <f t="shared" si="1"/>
        <v>0</v>
      </c>
      <c r="K33" s="36">
        <f>I33-J33</f>
        <v>0</v>
      </c>
      <c r="L33" s="31">
        <v>43167</v>
      </c>
      <c r="M33" s="14">
        <v>5604618</v>
      </c>
      <c r="N33" s="8" t="s">
        <v>156</v>
      </c>
      <c r="O33" s="8" t="s">
        <v>86</v>
      </c>
      <c r="P33" s="8" t="s">
        <v>89</v>
      </c>
      <c r="Q33" s="13" t="s">
        <v>152</v>
      </c>
      <c r="R33" s="13" t="s">
        <v>155</v>
      </c>
      <c r="S33" s="17">
        <v>0</v>
      </c>
    </row>
    <row r="34" spans="1:20" x14ac:dyDescent="0.25">
      <c r="A34" s="14" t="s">
        <v>317</v>
      </c>
      <c r="B34" s="8" t="s">
        <v>156</v>
      </c>
      <c r="C34" s="8" t="s">
        <v>86</v>
      </c>
      <c r="D34" s="8" t="s">
        <v>89</v>
      </c>
      <c r="E34" s="13" t="s">
        <v>152</v>
      </c>
      <c r="F34" s="13" t="s">
        <v>155</v>
      </c>
      <c r="G34" s="17">
        <v>0.95</v>
      </c>
      <c r="H34" s="34">
        <v>2633.26</v>
      </c>
      <c r="I34" s="35">
        <v>2501.5970000000002</v>
      </c>
      <c r="J34" s="36">
        <f t="shared" si="1"/>
        <v>2501.5970000000002</v>
      </c>
      <c r="K34" s="36">
        <f t="shared" ref="K34:K35" si="2">I34-J34</f>
        <v>0</v>
      </c>
      <c r="L34" s="19">
        <v>44095</v>
      </c>
      <c r="M34" s="14"/>
      <c r="N34" s="8"/>
      <c r="O34" s="8"/>
      <c r="P34" s="8"/>
      <c r="Q34" s="13"/>
      <c r="R34" s="13"/>
      <c r="S34" s="17"/>
    </row>
    <row r="35" spans="1:20" x14ac:dyDescent="0.25">
      <c r="A35" s="14">
        <v>5603968</v>
      </c>
      <c r="B35" s="8" t="s">
        <v>156</v>
      </c>
      <c r="C35" s="8" t="s">
        <v>87</v>
      </c>
      <c r="D35" s="8" t="s">
        <v>88</v>
      </c>
      <c r="E35" s="13" t="s">
        <v>149</v>
      </c>
      <c r="F35" s="13" t="s">
        <v>155</v>
      </c>
      <c r="G35" s="17">
        <v>0</v>
      </c>
      <c r="H35" s="34">
        <v>3040.38</v>
      </c>
      <c r="I35" s="35">
        <v>0</v>
      </c>
      <c r="J35" s="36">
        <f t="shared" si="1"/>
        <v>0</v>
      </c>
      <c r="K35" s="36">
        <f t="shared" si="2"/>
        <v>0</v>
      </c>
      <c r="L35" s="31">
        <v>43169</v>
      </c>
      <c r="M35" s="14">
        <v>5603968</v>
      </c>
      <c r="N35" s="8" t="s">
        <v>156</v>
      </c>
      <c r="O35" s="8" t="s">
        <v>87</v>
      </c>
      <c r="P35" s="8" t="s">
        <v>88</v>
      </c>
      <c r="Q35" s="13" t="s">
        <v>149</v>
      </c>
      <c r="R35" s="13" t="s">
        <v>155</v>
      </c>
      <c r="S35" s="17">
        <v>0</v>
      </c>
    </row>
    <row r="36" spans="1:20" x14ac:dyDescent="0.25">
      <c r="A36" s="14" t="s">
        <v>273</v>
      </c>
      <c r="B36" s="8" t="s">
        <v>156</v>
      </c>
      <c r="C36" s="8" t="s">
        <v>87</v>
      </c>
      <c r="D36" s="8" t="s">
        <v>88</v>
      </c>
      <c r="E36" s="13" t="s">
        <v>274</v>
      </c>
      <c r="F36" s="13" t="s">
        <v>155</v>
      </c>
      <c r="G36" s="17">
        <v>1</v>
      </c>
      <c r="H36" s="34">
        <v>3247.67</v>
      </c>
      <c r="I36" s="35">
        <v>3247.67</v>
      </c>
      <c r="J36" s="36">
        <f t="shared" si="1"/>
        <v>3247.67</v>
      </c>
      <c r="K36" s="36">
        <v>0</v>
      </c>
      <c r="L36" s="37">
        <v>43502</v>
      </c>
      <c r="M36" s="14"/>
      <c r="N36" s="8"/>
      <c r="O36" s="8"/>
      <c r="P36" s="8"/>
      <c r="Q36" s="13"/>
      <c r="R36" s="13"/>
      <c r="S36" s="17"/>
    </row>
    <row r="37" spans="1:20" x14ac:dyDescent="0.25">
      <c r="A37" s="14" t="s">
        <v>272</v>
      </c>
      <c r="B37" s="8" t="s">
        <v>156</v>
      </c>
      <c r="C37" s="8" t="s">
        <v>87</v>
      </c>
      <c r="D37" s="8" t="s">
        <v>88</v>
      </c>
      <c r="E37" s="13" t="s">
        <v>152</v>
      </c>
      <c r="F37" s="13" t="s">
        <v>155</v>
      </c>
      <c r="G37" s="17">
        <v>0.5</v>
      </c>
      <c r="H37" s="34">
        <v>3247.67</v>
      </c>
      <c r="I37" s="35">
        <v>1623.835</v>
      </c>
      <c r="J37" s="36">
        <f t="shared" si="1"/>
        <v>1623.835</v>
      </c>
      <c r="K37" s="36">
        <v>0</v>
      </c>
      <c r="L37" s="37">
        <v>43502</v>
      </c>
      <c r="M37" s="14"/>
      <c r="N37" s="8"/>
      <c r="O37" s="8"/>
      <c r="P37" s="8"/>
      <c r="Q37" s="13"/>
      <c r="R37" s="13"/>
      <c r="S37" s="17"/>
    </row>
    <row r="38" spans="1:20" x14ac:dyDescent="0.25">
      <c r="A38" s="14">
        <v>5605046</v>
      </c>
      <c r="B38" s="8" t="s">
        <v>156</v>
      </c>
      <c r="C38" s="8" t="s">
        <v>87</v>
      </c>
      <c r="D38" s="8" t="s">
        <v>88</v>
      </c>
      <c r="E38" s="13" t="s">
        <v>262</v>
      </c>
      <c r="F38" s="13" t="s">
        <v>155</v>
      </c>
      <c r="G38" s="17">
        <v>0</v>
      </c>
      <c r="H38" s="34">
        <v>3040.38</v>
      </c>
      <c r="I38" s="35">
        <v>0</v>
      </c>
      <c r="J38" s="36">
        <f t="shared" si="1"/>
        <v>0</v>
      </c>
      <c r="K38" s="36">
        <f t="shared" ref="K38:K42" si="3">I38-J38</f>
        <v>0</v>
      </c>
      <c r="L38" s="31">
        <v>43056</v>
      </c>
      <c r="M38" s="14">
        <v>5605046</v>
      </c>
      <c r="N38" s="8" t="s">
        <v>156</v>
      </c>
      <c r="O38" s="8" t="s">
        <v>87</v>
      </c>
      <c r="P38" s="8" t="s">
        <v>88</v>
      </c>
      <c r="Q38" s="13" t="s">
        <v>262</v>
      </c>
      <c r="R38" s="13" t="s">
        <v>155</v>
      </c>
      <c r="S38" s="17">
        <v>0</v>
      </c>
    </row>
    <row r="39" spans="1:20" x14ac:dyDescent="0.25">
      <c r="A39" s="14" t="s">
        <v>229</v>
      </c>
      <c r="B39" s="8" t="s">
        <v>154</v>
      </c>
      <c r="C39" s="8" t="s">
        <v>83</v>
      </c>
      <c r="D39" s="8" t="s">
        <v>89</v>
      </c>
      <c r="E39" s="13" t="s">
        <v>231</v>
      </c>
      <c r="F39" s="13">
        <v>2737</v>
      </c>
      <c r="G39" s="17">
        <v>1</v>
      </c>
      <c r="H39" s="34">
        <v>4990</v>
      </c>
      <c r="I39" s="35">
        <v>4990</v>
      </c>
      <c r="J39" s="36">
        <f t="shared" si="1"/>
        <v>4990</v>
      </c>
      <c r="K39" s="36">
        <f t="shared" si="3"/>
        <v>0</v>
      </c>
      <c r="L39" s="37">
        <v>43714</v>
      </c>
      <c r="M39" s="14" t="s">
        <v>229</v>
      </c>
      <c r="N39" s="8" t="s">
        <v>154</v>
      </c>
      <c r="O39" s="8" t="s">
        <v>83</v>
      </c>
      <c r="P39" s="8" t="s">
        <v>89</v>
      </c>
      <c r="Q39" s="13" t="s">
        <v>231</v>
      </c>
      <c r="R39" s="13">
        <v>2737</v>
      </c>
      <c r="S39" s="17">
        <v>1</v>
      </c>
    </row>
    <row r="40" spans="1:20" x14ac:dyDescent="0.25">
      <c r="A40" s="14" t="s">
        <v>233</v>
      </c>
      <c r="B40" s="8" t="s">
        <v>154</v>
      </c>
      <c r="C40" s="8" t="s">
        <v>83</v>
      </c>
      <c r="D40" s="8" t="s">
        <v>89</v>
      </c>
      <c r="E40" s="13" t="s">
        <v>235</v>
      </c>
      <c r="F40" s="13" t="s">
        <v>110</v>
      </c>
      <c r="G40" s="17">
        <v>0.73684210526315785</v>
      </c>
      <c r="H40" s="34">
        <v>3234</v>
      </c>
      <c r="I40" s="35">
        <v>2382.9473684210525</v>
      </c>
      <c r="J40" s="36">
        <f t="shared" si="1"/>
        <v>2382.9473684210525</v>
      </c>
      <c r="K40" s="36">
        <f t="shared" si="3"/>
        <v>0</v>
      </c>
      <c r="L40" s="37">
        <v>43729</v>
      </c>
      <c r="M40" s="14" t="s">
        <v>233</v>
      </c>
      <c r="N40" s="8" t="s">
        <v>154</v>
      </c>
      <c r="O40" s="8" t="s">
        <v>83</v>
      </c>
      <c r="P40" s="8" t="s">
        <v>89</v>
      </c>
      <c r="Q40" s="13" t="s">
        <v>235</v>
      </c>
      <c r="R40" s="13" t="s">
        <v>110</v>
      </c>
      <c r="S40" s="17">
        <v>0.73684210526315785</v>
      </c>
    </row>
    <row r="41" spans="1:20" x14ac:dyDescent="0.25">
      <c r="A41" s="14" t="s">
        <v>29</v>
      </c>
      <c r="B41" s="8" t="s">
        <v>154</v>
      </c>
      <c r="C41" s="8" t="s">
        <v>83</v>
      </c>
      <c r="D41" s="8" t="s">
        <v>89</v>
      </c>
      <c r="E41" s="13" t="s">
        <v>137</v>
      </c>
      <c r="F41" s="13" t="s">
        <v>110</v>
      </c>
      <c r="G41" s="17">
        <v>5.2631578947368418E-2</v>
      </c>
      <c r="H41" s="34">
        <v>3234</v>
      </c>
      <c r="I41" s="35">
        <v>170.21052631578945</v>
      </c>
      <c r="J41" s="36">
        <f t="shared" si="1"/>
        <v>170.21052631578945</v>
      </c>
      <c r="K41" s="36">
        <f t="shared" si="3"/>
        <v>0</v>
      </c>
      <c r="L41" s="31">
        <v>43308</v>
      </c>
      <c r="M41" s="14" t="s">
        <v>29</v>
      </c>
      <c r="N41" s="8" t="s">
        <v>154</v>
      </c>
      <c r="O41" s="8" t="s">
        <v>83</v>
      </c>
      <c r="P41" s="8" t="s">
        <v>89</v>
      </c>
      <c r="Q41" s="13" t="s">
        <v>137</v>
      </c>
      <c r="R41" s="13" t="s">
        <v>110</v>
      </c>
      <c r="S41" s="17">
        <v>5.2631578947368418E-2</v>
      </c>
    </row>
    <row r="42" spans="1:20" x14ac:dyDescent="0.25">
      <c r="A42" s="14" t="s">
        <v>194</v>
      </c>
      <c r="B42" s="8" t="s">
        <v>154</v>
      </c>
      <c r="C42" s="8" t="s">
        <v>83</v>
      </c>
      <c r="D42" s="8" t="s">
        <v>89</v>
      </c>
      <c r="E42" s="13" t="s">
        <v>196</v>
      </c>
      <c r="F42" s="13" t="s">
        <v>110</v>
      </c>
      <c r="G42" s="17">
        <v>0.68</v>
      </c>
      <c r="H42" s="34">
        <v>3234</v>
      </c>
      <c r="I42" s="35">
        <v>2199.1200000000003</v>
      </c>
      <c r="J42" s="36">
        <f t="shared" si="1"/>
        <v>2199.1200000000003</v>
      </c>
      <c r="K42" s="36">
        <f t="shared" si="3"/>
        <v>0</v>
      </c>
      <c r="L42" s="37">
        <v>43645</v>
      </c>
      <c r="M42" s="14" t="s">
        <v>194</v>
      </c>
      <c r="N42" s="8" t="s">
        <v>154</v>
      </c>
      <c r="O42" s="8" t="s">
        <v>83</v>
      </c>
      <c r="P42" s="8" t="s">
        <v>89</v>
      </c>
      <c r="Q42" s="13" t="s">
        <v>196</v>
      </c>
      <c r="R42" s="13" t="s">
        <v>110</v>
      </c>
      <c r="S42" s="17">
        <v>1</v>
      </c>
    </row>
    <row r="43" spans="1:20" x14ac:dyDescent="0.25">
      <c r="A43" s="14" t="s">
        <v>322</v>
      </c>
      <c r="B43" s="8" t="s">
        <v>154</v>
      </c>
      <c r="C43" s="8" t="s">
        <v>83</v>
      </c>
      <c r="D43" s="8" t="s">
        <v>89</v>
      </c>
      <c r="E43" s="13" t="s">
        <v>324</v>
      </c>
      <c r="F43" s="13" t="s">
        <v>325</v>
      </c>
      <c r="G43" s="17">
        <v>1</v>
      </c>
      <c r="H43" s="40">
        <v>3000</v>
      </c>
      <c r="I43" s="40">
        <v>0</v>
      </c>
      <c r="J43" s="40">
        <v>3000</v>
      </c>
      <c r="K43" s="14"/>
      <c r="L43" s="49">
        <v>45914</v>
      </c>
      <c r="M43" s="8" t="s">
        <v>83</v>
      </c>
      <c r="N43" s="8" t="s">
        <v>89</v>
      </c>
      <c r="O43" s="13" t="s">
        <v>324</v>
      </c>
      <c r="P43" s="13" t="s">
        <v>325</v>
      </c>
      <c r="Q43" s="17">
        <v>1</v>
      </c>
      <c r="R43" s="19">
        <v>45914</v>
      </c>
      <c r="S43" s="40">
        <v>3000</v>
      </c>
      <c r="T43" s="40"/>
    </row>
    <row r="44" spans="1:20" x14ac:dyDescent="0.25">
      <c r="A44" s="14" t="s">
        <v>190</v>
      </c>
      <c r="B44" s="8" t="s">
        <v>156</v>
      </c>
      <c r="C44" s="8" t="s">
        <v>83</v>
      </c>
      <c r="D44" s="8" t="s">
        <v>89</v>
      </c>
      <c r="E44" s="13" t="s">
        <v>191</v>
      </c>
      <c r="F44" s="13" t="s">
        <v>155</v>
      </c>
      <c r="G44" s="17">
        <v>0.23684210526315788</v>
      </c>
      <c r="H44" s="34">
        <v>3040.38</v>
      </c>
      <c r="I44" s="35">
        <v>720.09</v>
      </c>
      <c r="J44" s="36">
        <f t="shared" si="1"/>
        <v>720.09</v>
      </c>
      <c r="K44" s="36">
        <f>I44-J44</f>
        <v>0</v>
      </c>
      <c r="L44" s="37">
        <v>43876</v>
      </c>
      <c r="M44" s="14" t="s">
        <v>190</v>
      </c>
      <c r="N44" s="8" t="s">
        <v>156</v>
      </c>
      <c r="O44" s="8" t="s">
        <v>83</v>
      </c>
      <c r="P44" s="8" t="s">
        <v>89</v>
      </c>
      <c r="Q44" s="13" t="s">
        <v>191</v>
      </c>
      <c r="R44" s="13" t="s">
        <v>155</v>
      </c>
      <c r="S44" s="17">
        <v>0.39473684210526316</v>
      </c>
    </row>
    <row r="45" spans="1:20" x14ac:dyDescent="0.25">
      <c r="A45" s="14" t="s">
        <v>247</v>
      </c>
      <c r="B45" s="8" t="s">
        <v>154</v>
      </c>
      <c r="C45" s="8" t="s">
        <v>83</v>
      </c>
      <c r="D45" s="8" t="s">
        <v>89</v>
      </c>
      <c r="E45" s="13" t="s">
        <v>249</v>
      </c>
      <c r="F45" s="13">
        <v>2735</v>
      </c>
      <c r="G45" s="17">
        <v>0.72199999999999998</v>
      </c>
      <c r="H45" s="34">
        <v>3625</v>
      </c>
      <c r="I45" s="35">
        <v>2671.0526315789471</v>
      </c>
      <c r="J45" s="36">
        <f t="shared" si="1"/>
        <v>2617.25</v>
      </c>
      <c r="K45" s="36">
        <f>I45-J45</f>
        <v>53.802631578947057</v>
      </c>
      <c r="L45" s="37">
        <v>43474</v>
      </c>
      <c r="M45" s="14" t="s">
        <v>247</v>
      </c>
      <c r="N45" s="8" t="s">
        <v>154</v>
      </c>
      <c r="O45" s="8" t="s">
        <v>83</v>
      </c>
      <c r="P45" s="8" t="s">
        <v>89</v>
      </c>
      <c r="Q45" s="13" t="s">
        <v>249</v>
      </c>
      <c r="R45" s="13">
        <v>2735</v>
      </c>
      <c r="S45" s="17">
        <v>1</v>
      </c>
      <c r="T45" s="23">
        <v>1800</v>
      </c>
    </row>
    <row r="46" spans="1:20" x14ac:dyDescent="0.25">
      <c r="A46" s="14" t="s">
        <v>42</v>
      </c>
      <c r="B46" s="8" t="s">
        <v>154</v>
      </c>
      <c r="C46" s="8" t="s">
        <v>83</v>
      </c>
      <c r="D46" s="8" t="s">
        <v>89</v>
      </c>
      <c r="E46" s="13" t="s">
        <v>148</v>
      </c>
      <c r="F46" s="13">
        <v>2738</v>
      </c>
      <c r="G46" s="17">
        <v>0.65789473684210531</v>
      </c>
      <c r="H46" s="34">
        <v>4910</v>
      </c>
      <c r="I46" s="35">
        <v>3230.2631578947371</v>
      </c>
      <c r="J46" s="36">
        <f t="shared" si="1"/>
        <v>3230.2631578947371</v>
      </c>
      <c r="K46" s="36">
        <f>I46-J46</f>
        <v>0</v>
      </c>
      <c r="L46" s="37">
        <v>46583</v>
      </c>
      <c r="M46" s="14" t="s">
        <v>42</v>
      </c>
      <c r="N46" s="8" t="s">
        <v>154</v>
      </c>
      <c r="O46" s="8" t="s">
        <v>83</v>
      </c>
      <c r="P46" s="8" t="s">
        <v>89</v>
      </c>
      <c r="Q46" s="13" t="s">
        <v>148</v>
      </c>
      <c r="R46" s="13">
        <v>2738</v>
      </c>
      <c r="S46" s="17">
        <v>0.65789473684210531</v>
      </c>
    </row>
    <row r="47" spans="1:20" x14ac:dyDescent="0.25">
      <c r="A47" s="14" t="s">
        <v>227</v>
      </c>
      <c r="B47" s="8" t="s">
        <v>154</v>
      </c>
      <c r="C47" s="8" t="s">
        <v>83</v>
      </c>
      <c r="D47" s="8" t="s">
        <v>89</v>
      </c>
      <c r="E47" s="13" t="s">
        <v>232</v>
      </c>
      <c r="F47" s="13">
        <v>2738</v>
      </c>
      <c r="G47" s="17">
        <v>1</v>
      </c>
      <c r="H47" s="34">
        <v>4910</v>
      </c>
      <c r="I47" s="35">
        <v>4910</v>
      </c>
      <c r="J47" s="36">
        <f t="shared" si="1"/>
        <v>4910</v>
      </c>
      <c r="K47" s="36">
        <f>I47-J47</f>
        <v>0</v>
      </c>
      <c r="L47" s="37">
        <v>43714</v>
      </c>
      <c r="M47" s="14" t="s">
        <v>227</v>
      </c>
      <c r="N47" s="8" t="s">
        <v>154</v>
      </c>
      <c r="O47" s="8" t="s">
        <v>83</v>
      </c>
      <c r="P47" s="8" t="s">
        <v>89</v>
      </c>
      <c r="Q47" s="13" t="s">
        <v>232</v>
      </c>
      <c r="R47" s="13">
        <v>2738</v>
      </c>
      <c r="S47" s="17">
        <v>1</v>
      </c>
    </row>
    <row r="48" spans="1:20" x14ac:dyDescent="0.25">
      <c r="A48" s="14" t="s">
        <v>250</v>
      </c>
      <c r="B48" s="8" t="s">
        <v>154</v>
      </c>
      <c r="C48" s="8" t="s">
        <v>83</v>
      </c>
      <c r="D48" s="8" t="s">
        <v>89</v>
      </c>
      <c r="E48" s="13" t="s">
        <v>252</v>
      </c>
      <c r="F48" s="13">
        <v>2630</v>
      </c>
      <c r="G48" s="17">
        <v>0.78947368421052633</v>
      </c>
      <c r="H48" s="34">
        <v>2854</v>
      </c>
      <c r="I48" s="35">
        <v>2253.1578947368421</v>
      </c>
      <c r="J48" s="36">
        <f t="shared" si="1"/>
        <v>2253.1578947368421</v>
      </c>
      <c r="K48" s="36">
        <f>I48-J48</f>
        <v>0</v>
      </c>
      <c r="L48" s="37">
        <v>45642</v>
      </c>
      <c r="M48" s="14" t="s">
        <v>250</v>
      </c>
      <c r="N48" s="8" t="s">
        <v>154</v>
      </c>
      <c r="O48" s="8" t="s">
        <v>83</v>
      </c>
      <c r="P48" s="8" t="s">
        <v>89</v>
      </c>
      <c r="Q48" s="13" t="s">
        <v>252</v>
      </c>
      <c r="R48" s="13">
        <v>2630</v>
      </c>
      <c r="S48" s="17">
        <v>0.94736842105263153</v>
      </c>
    </row>
    <row r="49" spans="1:20" x14ac:dyDescent="0.25">
      <c r="A49" s="14" t="s">
        <v>31</v>
      </c>
      <c r="B49" s="8" t="s">
        <v>154</v>
      </c>
      <c r="C49" s="8" t="s">
        <v>83</v>
      </c>
      <c r="D49" s="8" t="s">
        <v>89</v>
      </c>
      <c r="E49" s="13" t="s">
        <v>139</v>
      </c>
      <c r="F49" s="13">
        <v>2630</v>
      </c>
      <c r="G49" s="17">
        <v>0</v>
      </c>
      <c r="H49" s="34">
        <v>2854</v>
      </c>
      <c r="I49" s="35">
        <v>0</v>
      </c>
      <c r="J49" s="36">
        <f t="shared" si="1"/>
        <v>0</v>
      </c>
      <c r="K49" s="36">
        <f t="shared" ref="K49:K54" si="4">I49-J49</f>
        <v>0</v>
      </c>
      <c r="L49" s="31">
        <v>43220</v>
      </c>
      <c r="M49" s="14" t="s">
        <v>31</v>
      </c>
      <c r="N49" s="8" t="s">
        <v>154</v>
      </c>
      <c r="O49" s="8" t="s">
        <v>83</v>
      </c>
      <c r="P49" s="8" t="s">
        <v>89</v>
      </c>
      <c r="Q49" s="13" t="s">
        <v>139</v>
      </c>
      <c r="R49" s="13">
        <v>2630</v>
      </c>
      <c r="S49" s="17">
        <v>0</v>
      </c>
    </row>
    <row r="50" spans="1:20" x14ac:dyDescent="0.25">
      <c r="A50" s="14" t="s">
        <v>163</v>
      </c>
      <c r="B50" s="8" t="s">
        <v>154</v>
      </c>
      <c r="C50" s="8" t="s">
        <v>83</v>
      </c>
      <c r="D50" s="8" t="s">
        <v>89</v>
      </c>
      <c r="E50" s="13" t="s">
        <v>189</v>
      </c>
      <c r="F50" s="13" t="s">
        <v>165</v>
      </c>
      <c r="G50" s="17">
        <v>0.10526315789473684</v>
      </c>
      <c r="H50" s="34">
        <v>3873</v>
      </c>
      <c r="I50" s="35">
        <v>407.68421052631578</v>
      </c>
      <c r="J50" s="36">
        <f t="shared" si="1"/>
        <v>407.68421052631578</v>
      </c>
      <c r="K50" s="36">
        <f t="shared" si="4"/>
        <v>0</v>
      </c>
      <c r="L50" s="30">
        <v>44612</v>
      </c>
      <c r="M50" s="14" t="s">
        <v>163</v>
      </c>
      <c r="N50" s="8" t="s">
        <v>154</v>
      </c>
      <c r="O50" s="8" t="s">
        <v>83</v>
      </c>
      <c r="P50" s="8" t="s">
        <v>89</v>
      </c>
      <c r="Q50" s="13" t="s">
        <v>189</v>
      </c>
      <c r="R50" s="13" t="s">
        <v>165</v>
      </c>
      <c r="S50" s="17">
        <v>0.10526315789473684</v>
      </c>
    </row>
    <row r="51" spans="1:20" x14ac:dyDescent="0.25">
      <c r="A51" s="14" t="s">
        <v>223</v>
      </c>
      <c r="B51" s="8" t="s">
        <v>154</v>
      </c>
      <c r="C51" s="8" t="s">
        <v>84</v>
      </c>
      <c r="D51" s="8" t="s">
        <v>89</v>
      </c>
      <c r="E51" s="16">
        <v>1.9734000000000002E-2</v>
      </c>
      <c r="F51" s="13" t="s">
        <v>116</v>
      </c>
      <c r="G51" s="17">
        <v>1</v>
      </c>
      <c r="H51" s="34">
        <v>3356</v>
      </c>
      <c r="I51" s="35">
        <v>3356</v>
      </c>
      <c r="J51" s="36">
        <f t="shared" si="1"/>
        <v>3356</v>
      </c>
      <c r="K51" s="36">
        <f t="shared" si="4"/>
        <v>0</v>
      </c>
      <c r="L51" s="37">
        <v>45325</v>
      </c>
      <c r="M51" s="14" t="s">
        <v>223</v>
      </c>
      <c r="N51" s="8" t="s">
        <v>154</v>
      </c>
      <c r="O51" s="8" t="s">
        <v>84</v>
      </c>
      <c r="P51" s="8" t="s">
        <v>89</v>
      </c>
      <c r="Q51" s="16">
        <v>1.9734000000000002E-2</v>
      </c>
      <c r="R51" s="13" t="s">
        <v>116</v>
      </c>
      <c r="S51" s="17">
        <v>1</v>
      </c>
    </row>
    <row r="52" spans="1:20" x14ac:dyDescent="0.25">
      <c r="A52" s="14" t="s">
        <v>36</v>
      </c>
      <c r="B52" s="8" t="s">
        <v>154</v>
      </c>
      <c r="C52" s="8" t="s">
        <v>84</v>
      </c>
      <c r="D52" s="8" t="s">
        <v>89</v>
      </c>
      <c r="E52" s="16">
        <v>9.9180000000000004E-2</v>
      </c>
      <c r="F52" s="13" t="s">
        <v>117</v>
      </c>
      <c r="G52" s="17">
        <v>0.26315789473684209</v>
      </c>
      <c r="H52" s="34">
        <v>3444</v>
      </c>
      <c r="I52" s="35">
        <v>906.31578947368416</v>
      </c>
      <c r="J52" s="36">
        <f t="shared" si="1"/>
        <v>906.31578947368416</v>
      </c>
      <c r="K52" s="36">
        <f t="shared" si="4"/>
        <v>0</v>
      </c>
      <c r="L52" s="37">
        <v>45325</v>
      </c>
      <c r="M52" s="14" t="s">
        <v>36</v>
      </c>
      <c r="N52" s="8" t="s">
        <v>154</v>
      </c>
      <c r="O52" s="8" t="s">
        <v>84</v>
      </c>
      <c r="P52" s="8" t="s">
        <v>89</v>
      </c>
      <c r="Q52" s="16">
        <v>9.9180000000000004E-2</v>
      </c>
      <c r="R52" s="13" t="s">
        <v>117</v>
      </c>
      <c r="S52" s="17">
        <v>0.26315789473684209</v>
      </c>
    </row>
    <row r="53" spans="1:20" x14ac:dyDescent="0.25">
      <c r="A53" s="14" t="s">
        <v>37</v>
      </c>
      <c r="B53" s="8" t="s">
        <v>154</v>
      </c>
      <c r="C53" s="8" t="s">
        <v>84</v>
      </c>
      <c r="D53" s="8" t="s">
        <v>89</v>
      </c>
      <c r="E53" s="16">
        <v>0.20863000000000001</v>
      </c>
      <c r="F53" s="13" t="s">
        <v>118</v>
      </c>
      <c r="G53" s="17">
        <v>0.10526315789473684</v>
      </c>
      <c r="H53" s="34">
        <v>3249</v>
      </c>
      <c r="I53" s="35">
        <v>342</v>
      </c>
      <c r="J53" s="36">
        <f t="shared" si="1"/>
        <v>342</v>
      </c>
      <c r="K53" s="36">
        <f t="shared" si="4"/>
        <v>0</v>
      </c>
      <c r="L53" s="30">
        <v>44431</v>
      </c>
      <c r="M53" s="14" t="s">
        <v>37</v>
      </c>
      <c r="N53" s="8" t="s">
        <v>154</v>
      </c>
      <c r="O53" s="8" t="s">
        <v>84</v>
      </c>
      <c r="P53" s="8" t="s">
        <v>89</v>
      </c>
      <c r="Q53" s="16">
        <v>0.20863000000000001</v>
      </c>
      <c r="R53" s="13" t="s">
        <v>118</v>
      </c>
      <c r="S53" s="17">
        <v>0.10526315789473684</v>
      </c>
    </row>
    <row r="54" spans="1:20" x14ac:dyDescent="0.25">
      <c r="A54" s="14" t="s">
        <v>315</v>
      </c>
      <c r="B54" s="8" t="s">
        <v>156</v>
      </c>
      <c r="C54" s="8" t="s">
        <v>84</v>
      </c>
      <c r="D54" s="8" t="s">
        <v>89</v>
      </c>
      <c r="E54" s="16">
        <v>0.21002000000000001</v>
      </c>
      <c r="F54" s="13" t="s">
        <v>155</v>
      </c>
      <c r="G54" s="17">
        <v>1</v>
      </c>
      <c r="H54" s="34">
        <v>2486.63</v>
      </c>
      <c r="I54" s="35">
        <v>2486.63</v>
      </c>
      <c r="J54" s="36">
        <f t="shared" si="1"/>
        <v>2486.63</v>
      </c>
      <c r="K54" s="36">
        <f t="shared" si="4"/>
        <v>0</v>
      </c>
      <c r="L54" s="19">
        <v>45183</v>
      </c>
      <c r="M54" s="14"/>
      <c r="N54" s="8"/>
      <c r="O54" s="8"/>
      <c r="P54" s="8"/>
      <c r="Q54" s="16"/>
      <c r="R54" s="13"/>
      <c r="S54" s="17"/>
    </row>
    <row r="55" spans="1:20" x14ac:dyDescent="0.25">
      <c r="A55" s="14" t="s">
        <v>215</v>
      </c>
      <c r="B55" s="8" t="s">
        <v>154</v>
      </c>
      <c r="C55" s="8" t="s">
        <v>79</v>
      </c>
      <c r="D55" s="8" t="s">
        <v>89</v>
      </c>
      <c r="E55" s="13" t="s">
        <v>253</v>
      </c>
      <c r="F55" s="13" t="s">
        <v>103</v>
      </c>
      <c r="G55" s="17">
        <v>0.72199999999999998</v>
      </c>
      <c r="H55" s="34">
        <v>4623</v>
      </c>
      <c r="I55" s="35">
        <v>4136.3684210526317</v>
      </c>
      <c r="J55" s="36">
        <f t="shared" si="1"/>
        <v>3337.806</v>
      </c>
      <c r="K55" s="36">
        <f t="shared" ref="K55:K62" si="5">I55-J55</f>
        <v>798.56242105263163</v>
      </c>
      <c r="L55" s="37">
        <v>43913</v>
      </c>
      <c r="M55" s="14" t="s">
        <v>215</v>
      </c>
      <c r="N55" s="8" t="s">
        <v>154</v>
      </c>
      <c r="O55" s="8" t="s">
        <v>79</v>
      </c>
      <c r="P55" s="8" t="s">
        <v>89</v>
      </c>
      <c r="Q55" s="13" t="s">
        <v>253</v>
      </c>
      <c r="R55" s="13" t="s">
        <v>103</v>
      </c>
      <c r="S55" s="17">
        <v>0.89473684210526316</v>
      </c>
      <c r="T55" s="23">
        <v>1800</v>
      </c>
    </row>
    <row r="56" spans="1:20" x14ac:dyDescent="0.25">
      <c r="A56" s="14" t="s">
        <v>217</v>
      </c>
      <c r="B56" s="8" t="s">
        <v>154</v>
      </c>
      <c r="C56" s="8" t="s">
        <v>79</v>
      </c>
      <c r="D56" s="8" t="s">
        <v>89</v>
      </c>
      <c r="E56" s="13" t="s">
        <v>133</v>
      </c>
      <c r="F56" s="13" t="s">
        <v>104</v>
      </c>
      <c r="G56" s="17">
        <v>0.57894736842105265</v>
      </c>
      <c r="H56" s="34">
        <v>4189</v>
      </c>
      <c r="I56" s="35">
        <v>2425.2105263157896</v>
      </c>
      <c r="J56" s="36">
        <f t="shared" si="1"/>
        <v>2425.2105263157896</v>
      </c>
      <c r="K56" s="36">
        <f t="shared" si="5"/>
        <v>0</v>
      </c>
      <c r="L56" s="30">
        <v>43470</v>
      </c>
      <c r="M56" s="14" t="s">
        <v>217</v>
      </c>
      <c r="N56" s="8" t="s">
        <v>154</v>
      </c>
      <c r="O56" s="8" t="s">
        <v>79</v>
      </c>
      <c r="P56" s="8" t="s">
        <v>89</v>
      </c>
      <c r="Q56" s="13" t="s">
        <v>133</v>
      </c>
      <c r="R56" s="13" t="s">
        <v>104</v>
      </c>
      <c r="S56" s="17">
        <v>0.57894736842105265</v>
      </c>
    </row>
    <row r="57" spans="1:20" x14ac:dyDescent="0.25">
      <c r="A57" s="14" t="s">
        <v>199</v>
      </c>
      <c r="B57" s="8" t="s">
        <v>154</v>
      </c>
      <c r="C57" s="8" t="s">
        <v>79</v>
      </c>
      <c r="D57" s="8" t="s">
        <v>89</v>
      </c>
      <c r="E57" s="13" t="s">
        <v>121</v>
      </c>
      <c r="F57" s="13" t="s">
        <v>91</v>
      </c>
      <c r="G57" s="17">
        <v>0</v>
      </c>
      <c r="H57" s="34">
        <v>3448</v>
      </c>
      <c r="I57" s="35">
        <v>0</v>
      </c>
      <c r="J57" s="36">
        <f>H57*G57</f>
        <v>0</v>
      </c>
      <c r="K57" s="36">
        <f t="shared" si="5"/>
        <v>0</v>
      </c>
      <c r="L57" s="37">
        <v>43731</v>
      </c>
      <c r="M57" s="14" t="s">
        <v>199</v>
      </c>
      <c r="N57" s="8" t="s">
        <v>154</v>
      </c>
      <c r="O57" s="8" t="s">
        <v>79</v>
      </c>
      <c r="P57" s="8" t="s">
        <v>89</v>
      </c>
      <c r="Q57" s="13" t="s">
        <v>121</v>
      </c>
      <c r="R57" s="13" t="s">
        <v>91</v>
      </c>
      <c r="S57" s="17">
        <v>0</v>
      </c>
    </row>
    <row r="58" spans="1:20" x14ac:dyDescent="0.25">
      <c r="A58" s="14" t="s">
        <v>280</v>
      </c>
      <c r="B58" s="8" t="s">
        <v>154</v>
      </c>
      <c r="C58" s="8" t="s">
        <v>79</v>
      </c>
      <c r="D58" s="8" t="s">
        <v>89</v>
      </c>
      <c r="E58" s="13" t="s">
        <v>282</v>
      </c>
      <c r="F58" s="13" t="s">
        <v>92</v>
      </c>
      <c r="G58" s="17">
        <v>0.92700000000000005</v>
      </c>
      <c r="H58" s="34">
        <v>4989</v>
      </c>
      <c r="I58" s="38">
        <v>4989</v>
      </c>
      <c r="J58" s="36">
        <f>H58*G58</f>
        <v>4624.8029999999999</v>
      </c>
      <c r="K58" s="36">
        <f t="shared" si="5"/>
        <v>364.19700000000012</v>
      </c>
      <c r="L58" s="37">
        <v>44925</v>
      </c>
      <c r="M58" s="14"/>
      <c r="N58" s="8"/>
      <c r="O58" s="8"/>
      <c r="P58" s="8"/>
      <c r="Q58" s="13"/>
      <c r="R58" s="13"/>
      <c r="S58" s="17"/>
      <c r="T58" s="23">
        <v>2050</v>
      </c>
    </row>
    <row r="59" spans="1:20" x14ac:dyDescent="0.25">
      <c r="A59" s="24" t="s">
        <v>11</v>
      </c>
      <c r="B59" s="25" t="s">
        <v>154</v>
      </c>
      <c r="C59" s="25" t="s">
        <v>79</v>
      </c>
      <c r="D59" s="25" t="s">
        <v>89</v>
      </c>
      <c r="E59" s="26" t="s">
        <v>122</v>
      </c>
      <c r="F59" s="26" t="s">
        <v>92</v>
      </c>
      <c r="G59" s="17">
        <v>0.92105263157894735</v>
      </c>
      <c r="H59" s="27">
        <v>4864</v>
      </c>
      <c r="I59" s="28">
        <v>4480</v>
      </c>
      <c r="J59" s="29">
        <f>H59*G59</f>
        <v>4480</v>
      </c>
      <c r="K59" s="29">
        <f t="shared" si="5"/>
        <v>0</v>
      </c>
      <c r="L59" s="31">
        <v>42572</v>
      </c>
      <c r="M59" s="14" t="s">
        <v>11</v>
      </c>
      <c r="N59" s="8" t="s">
        <v>154</v>
      </c>
      <c r="O59" s="8" t="s">
        <v>79</v>
      </c>
      <c r="P59" s="8" t="s">
        <v>89</v>
      </c>
      <c r="Q59" s="13" t="s">
        <v>122</v>
      </c>
      <c r="R59" s="13" t="s">
        <v>92</v>
      </c>
      <c r="S59" s="17">
        <v>0.92105263157894735</v>
      </c>
    </row>
    <row r="60" spans="1:20" x14ac:dyDescent="0.25">
      <c r="A60" s="24" t="s">
        <v>12</v>
      </c>
      <c r="B60" s="25" t="s">
        <v>154</v>
      </c>
      <c r="C60" s="25" t="s">
        <v>79</v>
      </c>
      <c r="D60" s="25" t="s">
        <v>89</v>
      </c>
      <c r="E60" s="26" t="s">
        <v>123</v>
      </c>
      <c r="F60" s="26" t="s">
        <v>93</v>
      </c>
      <c r="G60" s="17">
        <v>0.36842105263157893</v>
      </c>
      <c r="H60" s="27">
        <v>3164</v>
      </c>
      <c r="I60" s="28">
        <v>1165.6842105263158</v>
      </c>
      <c r="J60" s="29">
        <f t="shared" si="1"/>
        <v>1165.6842105263158</v>
      </c>
      <c r="K60" s="29">
        <f t="shared" si="5"/>
        <v>0</v>
      </c>
      <c r="L60" s="31">
        <v>43227</v>
      </c>
      <c r="M60" s="14" t="s">
        <v>12</v>
      </c>
      <c r="N60" s="8" t="s">
        <v>154</v>
      </c>
      <c r="O60" s="8" t="s">
        <v>79</v>
      </c>
      <c r="P60" s="8" t="s">
        <v>89</v>
      </c>
      <c r="Q60" s="13" t="s">
        <v>123</v>
      </c>
      <c r="R60" s="13" t="s">
        <v>93</v>
      </c>
      <c r="S60" s="17">
        <v>0.36842105263157893</v>
      </c>
    </row>
    <row r="61" spans="1:20" x14ac:dyDescent="0.25">
      <c r="A61" s="24" t="s">
        <v>24</v>
      </c>
      <c r="B61" s="25" t="s">
        <v>154</v>
      </c>
      <c r="C61" s="25" t="s">
        <v>79</v>
      </c>
      <c r="D61" s="25" t="s">
        <v>89</v>
      </c>
      <c r="E61" s="26" t="s">
        <v>134</v>
      </c>
      <c r="F61" s="26" t="s">
        <v>105</v>
      </c>
      <c r="G61" s="17">
        <v>0.71052631578947367</v>
      </c>
      <c r="H61" s="27">
        <v>3595</v>
      </c>
      <c r="I61" s="28">
        <v>2554.3421052631579</v>
      </c>
      <c r="J61" s="29">
        <f t="shared" si="1"/>
        <v>2554.3421052631579</v>
      </c>
      <c r="K61" s="29">
        <f t="shared" si="5"/>
        <v>0</v>
      </c>
      <c r="L61" s="31">
        <v>43227</v>
      </c>
      <c r="M61" s="14" t="s">
        <v>24</v>
      </c>
      <c r="N61" s="8" t="s">
        <v>154</v>
      </c>
      <c r="O61" s="8" t="s">
        <v>79</v>
      </c>
      <c r="P61" s="8" t="s">
        <v>89</v>
      </c>
      <c r="Q61" s="13" t="s">
        <v>134</v>
      </c>
      <c r="R61" s="13" t="s">
        <v>105</v>
      </c>
      <c r="S61" s="17">
        <v>0.71052631578947367</v>
      </c>
    </row>
    <row r="62" spans="1:20" x14ac:dyDescent="0.25">
      <c r="A62" s="24" t="s">
        <v>340</v>
      </c>
      <c r="B62" s="25" t="s">
        <v>156</v>
      </c>
      <c r="C62" s="25" t="s">
        <v>341</v>
      </c>
      <c r="D62" s="25" t="s">
        <v>89</v>
      </c>
      <c r="E62" s="26" t="s">
        <v>342</v>
      </c>
      <c r="F62" s="26" t="s">
        <v>155</v>
      </c>
      <c r="G62" s="17">
        <v>1</v>
      </c>
      <c r="H62" s="27">
        <v>8765</v>
      </c>
      <c r="I62" s="28">
        <v>8765</v>
      </c>
      <c r="J62" s="29">
        <f t="shared" si="1"/>
        <v>8765</v>
      </c>
      <c r="K62" s="29">
        <f t="shared" si="5"/>
        <v>0</v>
      </c>
      <c r="L62" s="30" t="s">
        <v>343</v>
      </c>
      <c r="M62" s="14"/>
      <c r="N62" s="8"/>
      <c r="O62" s="8"/>
      <c r="P62" s="8"/>
      <c r="Q62" s="13"/>
      <c r="R62" s="13"/>
      <c r="S62" s="17"/>
    </row>
    <row r="63" spans="1:20" ht="15.75" thickBot="1" x14ac:dyDescent="0.3">
      <c r="F63" s="66" t="s">
        <v>344</v>
      </c>
      <c r="G63" s="66"/>
      <c r="H63" s="50">
        <f>SUM(H2:H62)</f>
        <v>214060.19</v>
      </c>
      <c r="I63" s="50">
        <f>SUM(I2:I62)</f>
        <v>126838.72855789472</v>
      </c>
      <c r="J63" s="50">
        <f>SUM(J2:J62)</f>
        <v>131087.94861052631</v>
      </c>
      <c r="K63" s="50">
        <f>SUM(K2:K61)</f>
        <v>1750.7799473684208</v>
      </c>
    </row>
    <row r="64" spans="1:20" ht="15.75" thickTop="1" x14ac:dyDescent="0.25"/>
  </sheetData>
  <mergeCells count="1">
    <mergeCell ref="F63:G6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61"/>
  <sheetViews>
    <sheetView tabSelected="1" topLeftCell="A7" workbookViewId="0">
      <selection activeCell="C4" sqref="C4"/>
    </sheetView>
  </sheetViews>
  <sheetFormatPr defaultRowHeight="15" x14ac:dyDescent="0.25"/>
  <cols>
    <col min="2" max="2" width="14.5703125" customWidth="1"/>
    <col min="3" max="3" width="10.140625" customWidth="1"/>
    <col min="4" max="4" width="16.85546875" customWidth="1"/>
    <col min="5" max="5" width="17.5703125" customWidth="1"/>
    <col min="6" max="6" width="12" customWidth="1"/>
    <col min="7" max="7" width="13.28515625" customWidth="1"/>
  </cols>
  <sheetData>
    <row r="1" spans="1:7" s="51" customFormat="1" ht="20.25" customHeight="1" x14ac:dyDescent="0.25">
      <c r="A1" s="51" t="s">
        <v>5</v>
      </c>
      <c r="B1" s="51" t="s">
        <v>6</v>
      </c>
      <c r="C1" s="51" t="s">
        <v>7</v>
      </c>
      <c r="D1" s="51" t="s">
        <v>8</v>
      </c>
      <c r="E1" s="51" t="s">
        <v>9</v>
      </c>
      <c r="F1" s="51" t="s">
        <v>365</v>
      </c>
      <c r="G1" s="51" t="s">
        <v>3</v>
      </c>
    </row>
    <row r="2" spans="1:7" x14ac:dyDescent="0.25">
      <c r="A2" s="14" t="s">
        <v>154</v>
      </c>
      <c r="B2" t="s">
        <v>80</v>
      </c>
      <c r="C2" t="s">
        <v>89</v>
      </c>
      <c r="D2" s="13" t="s">
        <v>142</v>
      </c>
      <c r="E2" s="13" t="s">
        <v>114</v>
      </c>
      <c r="F2" s="14">
        <v>400</v>
      </c>
      <c r="G2" s="19">
        <v>44749</v>
      </c>
    </row>
    <row r="3" spans="1:7" x14ac:dyDescent="0.25">
      <c r="A3" s="14" t="s">
        <v>154</v>
      </c>
      <c r="B3" t="s">
        <v>80</v>
      </c>
      <c r="C3" t="s">
        <v>88</v>
      </c>
      <c r="D3" s="13" t="s">
        <v>221</v>
      </c>
      <c r="E3" s="13" t="s">
        <v>222</v>
      </c>
      <c r="F3" s="14">
        <v>400</v>
      </c>
      <c r="G3" s="19">
        <v>45516</v>
      </c>
    </row>
    <row r="4" spans="1:7" x14ac:dyDescent="0.25">
      <c r="A4" s="14" t="s">
        <v>154</v>
      </c>
      <c r="B4" t="s">
        <v>82</v>
      </c>
      <c r="C4" t="s">
        <v>89</v>
      </c>
      <c r="D4" s="13" t="s">
        <v>127</v>
      </c>
      <c r="E4" s="13" t="s">
        <v>98</v>
      </c>
      <c r="F4" s="14">
        <v>200</v>
      </c>
      <c r="G4" s="19">
        <v>44829</v>
      </c>
    </row>
    <row r="5" spans="1:7" x14ac:dyDescent="0.25">
      <c r="A5" s="14" t="s">
        <v>154</v>
      </c>
      <c r="B5" t="s">
        <v>81</v>
      </c>
      <c r="C5" t="s">
        <v>89</v>
      </c>
      <c r="D5" s="16">
        <v>1.9571000000000002E-2</v>
      </c>
      <c r="E5" s="13" t="s">
        <v>108</v>
      </c>
      <c r="F5" s="14">
        <v>1350</v>
      </c>
      <c r="G5" s="19">
        <v>43582</v>
      </c>
    </row>
    <row r="6" spans="1:7" x14ac:dyDescent="0.25">
      <c r="A6" s="14" t="s">
        <v>154</v>
      </c>
      <c r="B6" t="s">
        <v>83</v>
      </c>
      <c r="C6" t="s">
        <v>89</v>
      </c>
      <c r="D6" s="13" t="s">
        <v>189</v>
      </c>
      <c r="E6" s="13" t="s">
        <v>165</v>
      </c>
      <c r="F6" s="14">
        <v>200</v>
      </c>
      <c r="G6" s="19">
        <v>44612</v>
      </c>
    </row>
    <row r="7" spans="1:7" x14ac:dyDescent="0.25">
      <c r="A7" s="14" t="s">
        <v>154</v>
      </c>
      <c r="B7" t="s">
        <v>84</v>
      </c>
      <c r="C7" t="s">
        <v>89</v>
      </c>
      <c r="D7" s="16">
        <v>0.20863000000000001</v>
      </c>
      <c r="E7" s="13" t="s">
        <v>118</v>
      </c>
      <c r="F7" s="14">
        <v>200</v>
      </c>
      <c r="G7" s="19">
        <v>44431</v>
      </c>
    </row>
    <row r="8" spans="1:7" x14ac:dyDescent="0.25">
      <c r="A8" s="14" t="s">
        <v>154</v>
      </c>
      <c r="B8" t="s">
        <v>80</v>
      </c>
      <c r="C8" t="s">
        <v>89</v>
      </c>
      <c r="D8" s="13" t="s">
        <v>143</v>
      </c>
      <c r="E8" s="13" t="s">
        <v>115</v>
      </c>
      <c r="F8" s="14">
        <v>400</v>
      </c>
      <c r="G8" s="20">
        <v>42861</v>
      </c>
    </row>
    <row r="9" spans="1:7" x14ac:dyDescent="0.25">
      <c r="A9" s="14" t="s">
        <v>154</v>
      </c>
      <c r="B9" t="s">
        <v>80</v>
      </c>
      <c r="C9" t="s">
        <v>88</v>
      </c>
      <c r="D9" s="13" t="s">
        <v>125</v>
      </c>
      <c r="E9" s="13" t="s">
        <v>95</v>
      </c>
      <c r="F9" s="14">
        <v>400</v>
      </c>
      <c r="G9" s="20">
        <v>42964</v>
      </c>
    </row>
    <row r="10" spans="1:7" x14ac:dyDescent="0.25">
      <c r="A10" s="14" t="s">
        <v>154</v>
      </c>
      <c r="B10" t="s">
        <v>82</v>
      </c>
      <c r="C10" t="s">
        <v>88</v>
      </c>
      <c r="D10" s="13" t="s">
        <v>135</v>
      </c>
      <c r="E10" s="13" t="s">
        <v>106</v>
      </c>
      <c r="F10" s="14">
        <v>525</v>
      </c>
      <c r="G10" s="20">
        <v>42948</v>
      </c>
    </row>
    <row r="11" spans="1:7" x14ac:dyDescent="0.25">
      <c r="A11" s="14" t="s">
        <v>154</v>
      </c>
      <c r="B11" t="s">
        <v>82</v>
      </c>
      <c r="C11" t="s">
        <v>89</v>
      </c>
      <c r="D11" s="13" t="s">
        <v>140</v>
      </c>
      <c r="E11" s="13" t="s">
        <v>112</v>
      </c>
      <c r="F11" s="14">
        <v>1550</v>
      </c>
      <c r="G11" s="20">
        <v>43185</v>
      </c>
    </row>
    <row r="12" spans="1:7" x14ac:dyDescent="0.25">
      <c r="A12" s="14" t="s">
        <v>154</v>
      </c>
      <c r="B12" t="s">
        <v>82</v>
      </c>
      <c r="C12" t="s">
        <v>89</v>
      </c>
      <c r="D12" s="13" t="s">
        <v>141</v>
      </c>
      <c r="E12" s="13" t="s">
        <v>113</v>
      </c>
      <c r="F12" s="14">
        <v>0</v>
      </c>
      <c r="G12" s="20">
        <v>43197</v>
      </c>
    </row>
    <row r="13" spans="1:7" x14ac:dyDescent="0.25">
      <c r="A13" s="14" t="s">
        <v>154</v>
      </c>
      <c r="B13" t="s">
        <v>81</v>
      </c>
      <c r="C13" t="s">
        <v>89</v>
      </c>
      <c r="D13" s="16">
        <v>2.938E-2</v>
      </c>
      <c r="E13" s="13" t="s">
        <v>109</v>
      </c>
      <c r="F13" s="14">
        <v>700</v>
      </c>
      <c r="G13" s="20">
        <v>43253</v>
      </c>
    </row>
    <row r="14" spans="1:7" x14ac:dyDescent="0.25">
      <c r="A14" s="14" t="s">
        <v>156</v>
      </c>
      <c r="B14" t="s">
        <v>81</v>
      </c>
      <c r="C14" t="s">
        <v>89</v>
      </c>
      <c r="D14" s="16">
        <v>0.11005</v>
      </c>
      <c r="E14" s="13" t="s">
        <v>155</v>
      </c>
      <c r="F14" s="14">
        <v>0</v>
      </c>
      <c r="G14" s="19">
        <v>44508</v>
      </c>
    </row>
    <row r="15" spans="1:7" x14ac:dyDescent="0.25">
      <c r="A15" s="14" t="s">
        <v>154</v>
      </c>
      <c r="B15" t="s">
        <v>81</v>
      </c>
      <c r="C15" t="s">
        <v>89</v>
      </c>
      <c r="D15" s="13" t="s">
        <v>136</v>
      </c>
      <c r="E15" s="13">
        <v>2617</v>
      </c>
      <c r="F15" s="14">
        <v>650</v>
      </c>
      <c r="G15" s="20">
        <v>43237</v>
      </c>
    </row>
    <row r="16" spans="1:7" x14ac:dyDescent="0.25">
      <c r="A16" s="14" t="s">
        <v>156</v>
      </c>
      <c r="B16" t="s">
        <v>86</v>
      </c>
      <c r="C16" t="s">
        <v>89</v>
      </c>
      <c r="D16" s="13" t="s">
        <v>152</v>
      </c>
      <c r="E16" s="13" t="s">
        <v>155</v>
      </c>
      <c r="F16" s="14">
        <v>0</v>
      </c>
      <c r="G16" s="20">
        <v>43167</v>
      </c>
    </row>
    <row r="17" spans="1:7" x14ac:dyDescent="0.25">
      <c r="A17" s="14" t="s">
        <v>154</v>
      </c>
      <c r="B17" t="s">
        <v>86</v>
      </c>
      <c r="C17" t="s">
        <v>89</v>
      </c>
      <c r="D17" s="13" t="s">
        <v>145</v>
      </c>
      <c r="E17" s="13">
        <v>2731</v>
      </c>
      <c r="F17" s="14">
        <v>1450</v>
      </c>
      <c r="G17" s="20">
        <v>43480</v>
      </c>
    </row>
    <row r="18" spans="1:7" x14ac:dyDescent="0.25">
      <c r="A18" s="14" t="s">
        <v>154</v>
      </c>
      <c r="B18" t="s">
        <v>83</v>
      </c>
      <c r="C18" t="s">
        <v>89</v>
      </c>
      <c r="D18" s="13" t="s">
        <v>139</v>
      </c>
      <c r="E18" s="13">
        <v>2630</v>
      </c>
      <c r="F18" s="14">
        <v>0</v>
      </c>
      <c r="G18" s="20">
        <v>43220</v>
      </c>
    </row>
    <row r="19" spans="1:7" x14ac:dyDescent="0.25">
      <c r="A19" s="14" t="s">
        <v>154</v>
      </c>
      <c r="B19" t="s">
        <v>83</v>
      </c>
      <c r="C19" t="s">
        <v>89</v>
      </c>
      <c r="D19" s="13" t="s">
        <v>137</v>
      </c>
      <c r="E19" s="13" t="s">
        <v>110</v>
      </c>
      <c r="F19" s="14">
        <v>100</v>
      </c>
      <c r="G19" s="20">
        <v>43308</v>
      </c>
    </row>
    <row r="20" spans="1:7" x14ac:dyDescent="0.25">
      <c r="A20" s="14" t="s">
        <v>154</v>
      </c>
      <c r="B20" t="s">
        <v>83</v>
      </c>
      <c r="C20" t="s">
        <v>89</v>
      </c>
      <c r="D20" s="13" t="s">
        <v>249</v>
      </c>
      <c r="E20" s="13">
        <v>2735</v>
      </c>
      <c r="F20" s="14">
        <v>1400</v>
      </c>
      <c r="G20" s="20">
        <v>43474</v>
      </c>
    </row>
    <row r="21" spans="1:7" x14ac:dyDescent="0.25">
      <c r="A21" s="14" t="s">
        <v>156</v>
      </c>
      <c r="B21" t="s">
        <v>87</v>
      </c>
      <c r="C21" t="s">
        <v>88</v>
      </c>
      <c r="D21" s="13" t="s">
        <v>274</v>
      </c>
      <c r="E21" s="13" t="s">
        <v>155</v>
      </c>
      <c r="F21" s="14">
        <v>1900</v>
      </c>
      <c r="G21" s="20">
        <v>43502</v>
      </c>
    </row>
    <row r="22" spans="1:7" x14ac:dyDescent="0.25">
      <c r="A22" s="14" t="s">
        <v>156</v>
      </c>
      <c r="B22" t="s">
        <v>87</v>
      </c>
      <c r="C22" t="s">
        <v>88</v>
      </c>
      <c r="D22" s="13" t="s">
        <v>262</v>
      </c>
      <c r="E22" s="13" t="s">
        <v>155</v>
      </c>
      <c r="F22" s="14">
        <v>0</v>
      </c>
      <c r="G22" s="20">
        <v>43056</v>
      </c>
    </row>
    <row r="23" spans="1:7" x14ac:dyDescent="0.25">
      <c r="A23" s="14" t="s">
        <v>156</v>
      </c>
      <c r="B23" t="s">
        <v>87</v>
      </c>
      <c r="C23" t="s">
        <v>88</v>
      </c>
      <c r="D23" s="13" t="s">
        <v>152</v>
      </c>
      <c r="E23" s="13" t="s">
        <v>155</v>
      </c>
      <c r="F23" s="14">
        <v>900</v>
      </c>
      <c r="G23" s="20">
        <v>43502</v>
      </c>
    </row>
    <row r="24" spans="1:7" x14ac:dyDescent="0.25">
      <c r="A24" s="14" t="s">
        <v>156</v>
      </c>
      <c r="B24" t="s">
        <v>87</v>
      </c>
      <c r="C24" t="s">
        <v>88</v>
      </c>
      <c r="D24" s="13" t="s">
        <v>149</v>
      </c>
      <c r="E24" s="13" t="s">
        <v>155</v>
      </c>
      <c r="F24" s="14">
        <v>0</v>
      </c>
      <c r="G24" s="20">
        <v>43169</v>
      </c>
    </row>
    <row r="25" spans="1:7" x14ac:dyDescent="0.25">
      <c r="A25" s="14" t="s">
        <v>154</v>
      </c>
      <c r="B25" t="s">
        <v>79</v>
      </c>
      <c r="C25" t="s">
        <v>89</v>
      </c>
      <c r="D25" s="13" t="s">
        <v>122</v>
      </c>
      <c r="E25" s="13" t="s">
        <v>92</v>
      </c>
      <c r="F25" s="14">
        <v>1750</v>
      </c>
      <c r="G25" s="20">
        <v>42572</v>
      </c>
    </row>
    <row r="26" spans="1:7" x14ac:dyDescent="0.25">
      <c r="A26" s="14" t="s">
        <v>154</v>
      </c>
      <c r="B26" t="s">
        <v>79</v>
      </c>
      <c r="C26" t="s">
        <v>89</v>
      </c>
      <c r="D26" s="13" t="s">
        <v>123</v>
      </c>
      <c r="E26" s="13" t="s">
        <v>93</v>
      </c>
      <c r="F26" s="14">
        <v>700</v>
      </c>
      <c r="G26" s="20">
        <v>43227</v>
      </c>
    </row>
    <row r="27" spans="1:7" x14ac:dyDescent="0.25">
      <c r="A27" s="14" t="s">
        <v>154</v>
      </c>
      <c r="B27" t="s">
        <v>79</v>
      </c>
      <c r="C27" t="s">
        <v>89</v>
      </c>
      <c r="D27" s="13" t="s">
        <v>134</v>
      </c>
      <c r="E27" s="13" t="s">
        <v>105</v>
      </c>
      <c r="F27" s="14">
        <v>1350</v>
      </c>
      <c r="G27" s="20">
        <v>43227</v>
      </c>
    </row>
    <row r="28" spans="1:7" x14ac:dyDescent="0.25">
      <c r="A28" s="14" t="s">
        <v>154</v>
      </c>
      <c r="B28" t="s">
        <v>79</v>
      </c>
      <c r="C28" t="s">
        <v>89</v>
      </c>
      <c r="D28" s="13" t="s">
        <v>121</v>
      </c>
      <c r="E28" s="13" t="s">
        <v>91</v>
      </c>
      <c r="F28" s="14">
        <v>0</v>
      </c>
      <c r="G28" s="19">
        <v>43731</v>
      </c>
    </row>
    <row r="29" spans="1:7" x14ac:dyDescent="0.25">
      <c r="A29" s="14" t="s">
        <v>154</v>
      </c>
      <c r="B29" t="s">
        <v>79</v>
      </c>
      <c r="C29" t="s">
        <v>89</v>
      </c>
      <c r="D29" s="13" t="s">
        <v>133</v>
      </c>
      <c r="E29" s="13" t="s">
        <v>104</v>
      </c>
      <c r="F29" s="14">
        <v>1350</v>
      </c>
      <c r="G29" s="20">
        <v>43470</v>
      </c>
    </row>
    <row r="30" spans="1:7" x14ac:dyDescent="0.25">
      <c r="A30" s="14"/>
      <c r="D30" s="16"/>
      <c r="E30" s="13"/>
      <c r="F30" s="14"/>
      <c r="G30" s="20"/>
    </row>
    <row r="31" spans="1:7" x14ac:dyDescent="0.25">
      <c r="A31" s="14"/>
      <c r="D31" s="16"/>
      <c r="E31" s="13"/>
      <c r="F31" s="14"/>
      <c r="G31" s="20"/>
    </row>
    <row r="32" spans="1:7" x14ac:dyDescent="0.25">
      <c r="A32" s="14"/>
      <c r="D32" s="16"/>
      <c r="E32" s="13"/>
      <c r="F32" s="14"/>
      <c r="G32" s="20"/>
    </row>
    <row r="33" spans="1:7" x14ac:dyDescent="0.25">
      <c r="A33" s="14"/>
      <c r="D33" s="16"/>
      <c r="E33" s="13"/>
      <c r="F33" s="14"/>
      <c r="G33" s="20"/>
    </row>
    <row r="34" spans="1:7" x14ac:dyDescent="0.25">
      <c r="A34" s="14"/>
      <c r="D34" s="16"/>
      <c r="E34" s="13"/>
      <c r="F34" s="14"/>
      <c r="G34" s="20"/>
    </row>
    <row r="35" spans="1:7" x14ac:dyDescent="0.25">
      <c r="A35" s="14"/>
      <c r="D35" s="16"/>
      <c r="E35" s="13"/>
      <c r="F35" s="14"/>
      <c r="G35" s="20"/>
    </row>
    <row r="36" spans="1:7" x14ac:dyDescent="0.25">
      <c r="A36" s="14"/>
      <c r="D36" s="16"/>
      <c r="E36" s="13"/>
      <c r="F36" s="14"/>
      <c r="G36" s="20"/>
    </row>
    <row r="37" spans="1:7" x14ac:dyDescent="0.25">
      <c r="A37" s="14"/>
      <c r="D37" s="16"/>
      <c r="E37" s="13"/>
      <c r="F37" s="14"/>
      <c r="G37" s="20"/>
    </row>
    <row r="38" spans="1:7" x14ac:dyDescent="0.25">
      <c r="A38" s="14"/>
      <c r="D38" s="16"/>
      <c r="E38" s="13"/>
      <c r="F38" s="14"/>
      <c r="G38" s="20"/>
    </row>
    <row r="39" spans="1:7" x14ac:dyDescent="0.25">
      <c r="A39" s="14"/>
      <c r="D39" s="16"/>
      <c r="E39" s="13"/>
      <c r="F39" s="14"/>
      <c r="G39" s="20"/>
    </row>
    <row r="40" spans="1:7" x14ac:dyDescent="0.25">
      <c r="A40" s="14"/>
      <c r="D40" s="16"/>
      <c r="E40" s="13"/>
      <c r="F40" s="14"/>
      <c r="G40" s="20"/>
    </row>
    <row r="41" spans="1:7" x14ac:dyDescent="0.25">
      <c r="A41" s="14"/>
      <c r="D41" s="16"/>
      <c r="E41" s="13"/>
      <c r="F41" s="14"/>
      <c r="G41" s="20"/>
    </row>
    <row r="42" spans="1:7" x14ac:dyDescent="0.25">
      <c r="A42" s="14"/>
      <c r="D42" s="16"/>
      <c r="E42" s="13"/>
      <c r="F42" s="14"/>
      <c r="G42" s="20"/>
    </row>
    <row r="43" spans="1:7" x14ac:dyDescent="0.25">
      <c r="A43" s="14"/>
      <c r="D43" s="16"/>
      <c r="E43" s="13"/>
      <c r="F43" s="14"/>
      <c r="G43" s="20"/>
    </row>
    <row r="44" spans="1:7" x14ac:dyDescent="0.25">
      <c r="A44" s="14"/>
      <c r="D44" s="16"/>
      <c r="E44" s="13"/>
      <c r="F44" s="14"/>
      <c r="G44" s="20"/>
    </row>
    <row r="45" spans="1:7" x14ac:dyDescent="0.25">
      <c r="A45" s="14"/>
      <c r="D45" s="16"/>
      <c r="E45" s="13"/>
      <c r="F45" s="14"/>
      <c r="G45" s="20"/>
    </row>
    <row r="46" spans="1:7" x14ac:dyDescent="0.25">
      <c r="A46" s="14"/>
      <c r="D46" s="16"/>
      <c r="E46" s="13"/>
      <c r="F46" s="14"/>
      <c r="G46" s="20"/>
    </row>
    <row r="47" spans="1:7" x14ac:dyDescent="0.25">
      <c r="A47" s="14"/>
      <c r="D47" s="16"/>
      <c r="E47" s="13"/>
      <c r="F47" s="14"/>
      <c r="G47" s="20"/>
    </row>
    <row r="48" spans="1:7" x14ac:dyDescent="0.25">
      <c r="A48" s="14"/>
      <c r="D48" s="16"/>
      <c r="E48" s="13"/>
      <c r="F48" s="14"/>
      <c r="G48" s="20"/>
    </row>
    <row r="49" spans="1:7" x14ac:dyDescent="0.25">
      <c r="A49" s="14"/>
      <c r="D49" s="16"/>
      <c r="E49" s="13"/>
      <c r="F49" s="14"/>
      <c r="G49" s="20"/>
    </row>
    <row r="50" spans="1:7" x14ac:dyDescent="0.25">
      <c r="A50" s="14"/>
      <c r="D50" s="16"/>
      <c r="E50" s="13"/>
      <c r="F50" s="14"/>
      <c r="G50" s="20"/>
    </row>
    <row r="51" spans="1:7" x14ac:dyDescent="0.25">
      <c r="A51" s="14"/>
      <c r="D51" s="16"/>
      <c r="E51" s="13"/>
      <c r="F51" s="14"/>
      <c r="G51" s="20"/>
    </row>
    <row r="52" spans="1:7" x14ac:dyDescent="0.25">
      <c r="A52" s="14"/>
      <c r="D52" s="16"/>
      <c r="E52" s="13"/>
      <c r="F52" s="14"/>
      <c r="G52" s="20"/>
    </row>
    <row r="53" spans="1:7" x14ac:dyDescent="0.25">
      <c r="A53" s="14"/>
      <c r="D53" s="16"/>
      <c r="E53" s="13"/>
      <c r="F53" s="14"/>
      <c r="G53" s="20"/>
    </row>
    <row r="54" spans="1:7" x14ac:dyDescent="0.25">
      <c r="A54" s="14"/>
      <c r="D54" s="16"/>
      <c r="E54" s="13"/>
      <c r="F54" s="14"/>
      <c r="G54" s="20"/>
    </row>
    <row r="55" spans="1:7" x14ac:dyDescent="0.25">
      <c r="A55" s="14"/>
      <c r="D55" s="16"/>
      <c r="E55" s="13"/>
      <c r="F55" s="14"/>
      <c r="G55" s="20"/>
    </row>
    <row r="56" spans="1:7" x14ac:dyDescent="0.25">
      <c r="A56" s="14"/>
      <c r="D56" s="16"/>
      <c r="E56" s="13"/>
      <c r="F56" s="14"/>
      <c r="G56" s="20"/>
    </row>
    <row r="57" spans="1:7" x14ac:dyDescent="0.25">
      <c r="A57" s="14"/>
      <c r="D57" s="16"/>
      <c r="E57" s="13"/>
      <c r="F57" s="14"/>
      <c r="G57" s="20"/>
    </row>
    <row r="58" spans="1:7" x14ac:dyDescent="0.25">
      <c r="A58" s="14"/>
      <c r="D58" s="16"/>
      <c r="E58" s="13"/>
      <c r="F58" s="14"/>
      <c r="G58" s="20"/>
    </row>
    <row r="59" spans="1:7" x14ac:dyDescent="0.25">
      <c r="A59" s="14"/>
      <c r="D59" s="16"/>
      <c r="E59" s="13"/>
      <c r="F59" s="14"/>
      <c r="G59" s="20"/>
    </row>
    <row r="60" spans="1:7" x14ac:dyDescent="0.25">
      <c r="A60" s="14"/>
      <c r="D60" s="16"/>
      <c r="E60" s="13"/>
      <c r="F60" s="14"/>
      <c r="G60" s="20"/>
    </row>
    <row r="61" spans="1:7" x14ac:dyDescent="0.25">
      <c r="A61" s="14"/>
      <c r="D61" s="16"/>
      <c r="E61" s="13"/>
      <c r="F61" s="14"/>
      <c r="G61" s="2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Inventory List</vt:lpstr>
      <vt:lpstr>Inventory value</vt:lpstr>
      <vt:lpstr>Value Report</vt:lpstr>
      <vt:lpstr>Update message</vt:lpstr>
      <vt:lpstr>'Inventory List'!Print_Titles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Jeff Lynn</dc:creator>
  <cp:lastModifiedBy>Jeff Lynn</cp:lastModifiedBy>
  <cp:lastPrinted>2018-12-03T13:49:13Z</cp:lastPrinted>
  <dcterms:created xsi:type="dcterms:W3CDTF">2016-08-01T23:26:40Z</dcterms:created>
  <dcterms:modified xsi:type="dcterms:W3CDTF">2019-03-07T21:41:14Z</dcterms:modified>
</cp:coreProperties>
</file>